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con\Downloads\"/>
    </mc:Choice>
  </mc:AlternateContent>
  <xr:revisionPtr revIDLastSave="0" documentId="13_ncr:1_{4A2892C4-3423-45CA-9050-C314B85F2DFE}" xr6:coauthVersionLast="47" xr6:coauthVersionMax="47" xr10:uidLastSave="{00000000-0000-0000-0000-000000000000}"/>
  <bookViews>
    <workbookView xWindow="-108" yWindow="-108" windowWidth="23256" windowHeight="12456" xr2:uid="{38B5D577-474C-4399-9CA6-7E2D0DD88AA4}"/>
  </bookViews>
  <sheets>
    <sheet name="Pieces" sheetId="3" r:id="rId1"/>
    <sheet name="SRLs" sheetId="4" r:id="rId2"/>
  </sheets>
  <definedNames>
    <definedName name="ExternalData_1" localSheetId="0" hidden="1">Pieces!$A$5:$L$43</definedName>
    <definedName name="ExternalData_1" localSheetId="1" hidden="1">SRLs!$A$5:$J$22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493693-2191-4FE3-9290-BF7A0F801683}" keepAlive="1" name="Consulta - InvoiceExcel" description="Conexión a la consulta 'InvoiceExcel' en el libro." type="5" refreshedVersion="7" background="1" saveData="1">
    <dbPr connection="Provider=Microsoft.Mashup.OleDb.1;Data Source=$Workbook$;Location=InvoiceExcel;Extended Properties=&quot;&quot;" command="SELECT * FROM [InvoiceExcel]"/>
  </connection>
  <connection id="2" xr16:uid="{32D1275F-F463-4C03-B5B4-F70030FC115D}" odcFile="C:\Users\isaac\Documents\Mis archivos de origen de datos\localhost VRT_TRAKING product.odc" keepAlive="1" name="localhost VRT_TRAKING product" type="5" refreshedVersion="0" new="1" background="1">
    <dbPr connection="Provider=SQLOLEDB.1;Integrated Security=SSPI;Persist Security Info=True;Data Source=localhost;Use Procedure for Prepare=1;Auto Translate=True;Packet Size=4096;Workstation ID=DESKTOP-S806JIQ;Use Encryption for Data=False;Tag with column collation when possible=False;Initial Catalog=VRT_TRAKING" command="&quot;VRT_TRAKING&quot;.&quot;dbo&quot;.&quot;product&quot;" commandType="3"/>
  </connection>
  <connection id="3" xr16:uid="{FAE17DC8-A063-4FA8-B533-B0FD6717C109}" keepAlive="1" name="Query - InvoiceExcelYOYO" description="Connection to the 'InvoiceExcelYOYO' query in the workbook." type="5" refreshedVersion="8" background="1" saveData="1">
    <dbPr connection="Provider=Microsoft.Mashup.OleDb.1;Data Source=$Workbook$;Location=InvoiceExcelYOYO;Extended Properties=&quot;&quot;" command="SELECT * FROM [InvoiceExcelYOYO]"/>
  </connection>
  <connection id="4" xr16:uid="{0CF0F48D-27FC-4DEE-8BA6-E96869EF9FF9}" keepAlive="1" name="Query - InvoiceMaterialExcel" description="Connection to the 'InvoiceMaterialExcel' query in the workbook." type="5" refreshedVersion="8" background="1" saveData="1">
    <dbPr connection="Provider=Microsoft.Mashup.OleDb.1;Data Source=$Workbook$;Location=InvoiceMaterialExcel;Extended Properties=&quot;&quot;" command="SELECT * FROM [InvoiceMaterialExcel]"/>
  </connection>
  <connection id="5" xr16:uid="{C1C3EEE0-62D7-4309-89BE-6DE69D1289A8}" keepAlive="1" name="Query - localhost: VRT_TRAKING" description="Connection to the 'localhost: VRT_TRAKING' query in the workbook." type="5" refreshedVersion="0" background="1">
    <dbPr connection="Provider=Microsoft.Mashup.OleDb.1;Data Source=$Workbook$;Location=&quot;localhost: VRT_TRAKING&quot;;Extended Properties=&quot;&quot;" command="SELECT * FROM [localhost: VRT_TRAKING]"/>
  </connection>
</connections>
</file>

<file path=xl/sharedStrings.xml><?xml version="1.0" encoding="utf-8"?>
<sst xmlns="http://schemas.openxmlformats.org/spreadsheetml/2006/main" count="467" uniqueCount="201">
  <si>
    <t>Type (O,M,T,C)</t>
  </si>
  <si>
    <t>Pieces</t>
  </si>
  <si>
    <t>Location</t>
  </si>
  <si>
    <t>Date UP</t>
  </si>
  <si>
    <t>Invoice Amount</t>
  </si>
  <si>
    <t>RDays</t>
  </si>
  <si>
    <t>Work</t>
  </si>
  <si>
    <t>Tag #</t>
  </si>
  <si>
    <t>UNIT</t>
  </si>
  <si>
    <t>Date Down</t>
  </si>
  <si>
    <t>ACTIVEDAYS</t>
  </si>
  <si>
    <t>REQUIRED DATA ENTRY</t>
  </si>
  <si>
    <t xml:space="preserve">Leyed for "Type" Column: O(Operations), M(Maintenance), T(T/A), C(Capital)  </t>
  </si>
  <si>
    <t>Invoice Star Date</t>
  </si>
  <si>
    <t>Invoice End Date</t>
  </si>
  <si>
    <t>CALCULATED COLUMNS FOR INEOS REVIEW</t>
  </si>
  <si>
    <t>Labor WO / Network #</t>
  </si>
  <si>
    <t>SRLs</t>
  </si>
  <si>
    <t>4500029348</t>
  </si>
  <si>
    <t>A</t>
  </si>
  <si>
    <t>02020</t>
  </si>
  <si>
    <t>Area 21</t>
  </si>
  <si>
    <t>North east of A21 TP 20.08</t>
  </si>
  <si>
    <t>08/08/2025</t>
  </si>
  <si>
    <t/>
  </si>
  <si>
    <t>Build</t>
  </si>
  <si>
    <t>02021</t>
  </si>
  <si>
    <t>North east of A21 TP 21.T45</t>
  </si>
  <si>
    <t>08/10/2025</t>
  </si>
  <si>
    <t>02022</t>
  </si>
  <si>
    <t>4th floor A21 021-SCP-2</t>
  </si>
  <si>
    <t>08/11/2025</t>
  </si>
  <si>
    <t>02023</t>
  </si>
  <si>
    <t>Water lines TP 21.55 21.00 21.</t>
  </si>
  <si>
    <t>08/12/2025</t>
  </si>
  <si>
    <t>810031596</t>
  </si>
  <si>
    <t>02025</t>
  </si>
  <si>
    <t>Area 60</t>
  </si>
  <si>
    <t xml:space="preserve">Area 95 cooling tower </t>
  </si>
  <si>
    <t>08/18/2025</t>
  </si>
  <si>
    <t>02026</t>
  </si>
  <si>
    <t>PRD TP 21.11</t>
  </si>
  <si>
    <t>08/19/2025</t>
  </si>
  <si>
    <t>02027</t>
  </si>
  <si>
    <t>PRD TP 20.01</t>
  </si>
  <si>
    <t>08/20/2025</t>
  </si>
  <si>
    <t>02028</t>
  </si>
  <si>
    <t>PRD TP 21.31</t>
  </si>
  <si>
    <t>08/21/2025</t>
  </si>
  <si>
    <t>02029</t>
  </si>
  <si>
    <t>PRD scaffold on roof for condu</t>
  </si>
  <si>
    <t>08/26/2025</t>
  </si>
  <si>
    <t>810031022</t>
  </si>
  <si>
    <t>02032</t>
  </si>
  <si>
    <t>Area 34</t>
  </si>
  <si>
    <t>2nd Flr A34 above R-2 flowmete</t>
  </si>
  <si>
    <t>08/29/2025</t>
  </si>
  <si>
    <t>810029988</t>
  </si>
  <si>
    <t>02033</t>
  </si>
  <si>
    <t>EAST OF 95 CT PIPERACK FOR LEA</t>
  </si>
  <si>
    <t>09/02/2025</t>
  </si>
  <si>
    <t>810032006</t>
  </si>
  <si>
    <t>02036</t>
  </si>
  <si>
    <t>Area 68</t>
  </si>
  <si>
    <t xml:space="preserve">NORTH SIDE OF FUNDA ROOM </t>
  </si>
  <si>
    <t>09/03/2025</t>
  </si>
  <si>
    <t>02037</t>
  </si>
  <si>
    <t xml:space="preserve">WEST SIDE OF 68 FUNDA ROOM </t>
  </si>
  <si>
    <t>810008831</t>
  </si>
  <si>
    <t>02038</t>
  </si>
  <si>
    <t>EAST PIPE RACK SOUTH OF BOILER</t>
  </si>
  <si>
    <t>02041</t>
  </si>
  <si>
    <t xml:space="preserve">PRD 21 R-3 FOR INSULATION </t>
  </si>
  <si>
    <t>02042</t>
  </si>
  <si>
    <t>Area 64</t>
  </si>
  <si>
    <t>A60 PHA NORTH OF BOILER PIPERA</t>
  </si>
  <si>
    <t>09/04/2025</t>
  </si>
  <si>
    <t>4500031386</t>
  </si>
  <si>
    <t>02043</t>
  </si>
  <si>
    <t xml:space="preserve">03 HVAC SYSTEM </t>
  </si>
  <si>
    <t>02053</t>
  </si>
  <si>
    <t xml:space="preserve">North side above R4 </t>
  </si>
  <si>
    <t>09/13/2025</t>
  </si>
  <si>
    <t>02054</t>
  </si>
  <si>
    <t>South side south grating for v</t>
  </si>
  <si>
    <t>810030053</t>
  </si>
  <si>
    <t>02056</t>
  </si>
  <si>
    <t>2nd floor of structure for eas</t>
  </si>
  <si>
    <t>09/15/2025</t>
  </si>
  <si>
    <t>810027429</t>
  </si>
  <si>
    <t>02057</t>
  </si>
  <si>
    <t xml:space="preserve">4th floor of 21 structure H-5 </t>
  </si>
  <si>
    <t>810030040</t>
  </si>
  <si>
    <t>02065</t>
  </si>
  <si>
    <t>4th floor of 21 structure H-19</t>
  </si>
  <si>
    <t>09/20/2025</t>
  </si>
  <si>
    <t>810030050</t>
  </si>
  <si>
    <t>02068</t>
  </si>
  <si>
    <t>Area 66</t>
  </si>
  <si>
    <t xml:space="preserve">1st floor C-410 column </t>
  </si>
  <si>
    <t>09/26/2025</t>
  </si>
  <si>
    <t>810027097</t>
  </si>
  <si>
    <t>02069</t>
  </si>
  <si>
    <t>2nd flr 76 PSEV1/PSEV2</t>
  </si>
  <si>
    <t>09/30/2025</t>
  </si>
  <si>
    <t>810026767</t>
  </si>
  <si>
    <t>02070</t>
  </si>
  <si>
    <t>3rd floor T-701</t>
  </si>
  <si>
    <t>02072</t>
  </si>
  <si>
    <t xml:space="preserve">south east side over 21 pit </t>
  </si>
  <si>
    <t>10/02/2025</t>
  </si>
  <si>
    <t>810028996</t>
  </si>
  <si>
    <t>02073</t>
  </si>
  <si>
    <t xml:space="preserve">1st floor xv valve </t>
  </si>
  <si>
    <t>10/03/2025</t>
  </si>
  <si>
    <t>810024672</t>
  </si>
  <si>
    <t>02074</t>
  </si>
  <si>
    <t xml:space="preserve">A60 basement FH4 </t>
  </si>
  <si>
    <t>10/06/2025</t>
  </si>
  <si>
    <t>810027346</t>
  </si>
  <si>
    <t>02075</t>
  </si>
  <si>
    <t xml:space="preserve">A60 FH4 manway </t>
  </si>
  <si>
    <t>810019213</t>
  </si>
  <si>
    <t>02076</t>
  </si>
  <si>
    <t>1st floor C-410 column 66psvh4</t>
  </si>
  <si>
    <t>10/14/2025</t>
  </si>
  <si>
    <t>810005606</t>
  </si>
  <si>
    <t>02077</t>
  </si>
  <si>
    <t xml:space="preserve">3rd floor C101 top head </t>
  </si>
  <si>
    <t>810032708</t>
  </si>
  <si>
    <t>02080</t>
  </si>
  <si>
    <t>Area 90</t>
  </si>
  <si>
    <t>between V-116 and V-117 2fl</t>
  </si>
  <si>
    <t>10/26/2025</t>
  </si>
  <si>
    <t>810020303</t>
  </si>
  <si>
    <t>02081</t>
  </si>
  <si>
    <t>Area 23</t>
  </si>
  <si>
    <t>Southside of hot house</t>
  </si>
  <si>
    <t>10/27/2025</t>
  </si>
  <si>
    <t>810033250</t>
  </si>
  <si>
    <t>02082</t>
  </si>
  <si>
    <t>southwest corner</t>
  </si>
  <si>
    <t>10/28/2025</t>
  </si>
  <si>
    <t>810033342</t>
  </si>
  <si>
    <t>02083</t>
  </si>
  <si>
    <t>Build scaffold for unit heater</t>
  </si>
  <si>
    <t>11/03/2025</t>
  </si>
  <si>
    <t>810032290</t>
  </si>
  <si>
    <t>02084</t>
  </si>
  <si>
    <t>Build scaffold area 90</t>
  </si>
  <si>
    <t>11/04/2025</t>
  </si>
  <si>
    <t>810033065</t>
  </si>
  <si>
    <t>02086</t>
  </si>
  <si>
    <t>area 90 tank farm</t>
  </si>
  <si>
    <t>11/14/2025</t>
  </si>
  <si>
    <t>10018</t>
  </si>
  <si>
    <t>SRLS</t>
  </si>
  <si>
    <t>2320058041</t>
  </si>
  <si>
    <t>N</t>
  </si>
  <si>
    <t>3023</t>
  </si>
  <si>
    <t>Nutrien</t>
  </si>
  <si>
    <t>REFORMING NORTH SIDE</t>
  </si>
  <si>
    <t>03/06/2026</t>
  </si>
  <si>
    <t>3024</t>
  </si>
  <si>
    <t>3025</t>
  </si>
  <si>
    <t>3045</t>
  </si>
  <si>
    <t>REFORMING EAST SIDE OF NEW STR</t>
  </si>
  <si>
    <t>04/02/2026</t>
  </si>
  <si>
    <t>3046</t>
  </si>
  <si>
    <t>REFORMING SOUTH SIDE OF SKID</t>
  </si>
  <si>
    <t>04/06/2026</t>
  </si>
  <si>
    <t>3047</t>
  </si>
  <si>
    <t xml:space="preserve">Reformer - North side of skid </t>
  </si>
  <si>
    <t>04/12/2026</t>
  </si>
  <si>
    <t>3048</t>
  </si>
  <si>
    <t>Reformer - westside of skid in</t>
  </si>
  <si>
    <t>04/08/2026</t>
  </si>
  <si>
    <t>3049</t>
  </si>
  <si>
    <t xml:space="preserve">Acid Unit- Laydown yard </t>
  </si>
  <si>
    <t>04/10/2026</t>
  </si>
  <si>
    <t>3050</t>
  </si>
  <si>
    <t xml:space="preserve">Reformer- Middle of skid </t>
  </si>
  <si>
    <t>04/15/2026</t>
  </si>
  <si>
    <t>3051</t>
  </si>
  <si>
    <t>Reformer- West side of skid pi</t>
  </si>
  <si>
    <t>3052</t>
  </si>
  <si>
    <t>04/14/2026</t>
  </si>
  <si>
    <t>3053</t>
  </si>
  <si>
    <t>3056</t>
  </si>
  <si>
    <t xml:space="preserve">Reformer- East of stack </t>
  </si>
  <si>
    <t>04/16/2026</t>
  </si>
  <si>
    <t>3057</t>
  </si>
  <si>
    <t>Reformer- West side goes to so</t>
  </si>
  <si>
    <t>04/20/2026</t>
  </si>
  <si>
    <t>3059</t>
  </si>
  <si>
    <t>Reformer- Northeast of skid</t>
  </si>
  <si>
    <t>04/21/2026</t>
  </si>
  <si>
    <t>3060</t>
  </si>
  <si>
    <t xml:space="preserve">Reformer- West side of skid </t>
  </si>
  <si>
    <t>3068</t>
  </si>
  <si>
    <t>Reformer- Westside of structur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</si>
</sst>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0" xfId="0" applyAlignment="1">
      <alignment vertical="center"/>
    </xf>
    <xf numFmtId="0" fontId="0" fillId="0" borderId="1" xfId="0" applyBorder="1"/>
    <xf numFmtId="0" fontId="5" fillId="0" borderId="1" xfId="0" applyFont="1" applyBorder="1"/>
    <xf numFmtId="0" fontId="5" fillId="0" borderId="2" xfId="0" applyFont="1" applyBorder="1"/>
    <xf numFmtId="14" fontId="0" fillId="0" borderId="3" xfId="0" applyNumberFormat="1" applyBorder="1"/>
    <xf numFmtId="0" fontId="0" fillId="0" borderId="5" xfId="0" applyBorder="1"/>
    <xf numFmtId="0" fontId="5" fillId="0" borderId="4" xfId="0" applyFont="1" applyBorder="1"/>
    <xf numFmtId="14" fontId="0" fillId="0" borderId="6" xfId="0" applyNumberFormat="1" applyBorder="1"/>
    <xf numFmtId="0" fontId="2" fillId="3" borderId="5" xfId="0" applyFont="1" applyFill="1" applyBorder="1"/>
    <xf numFmtId="0" fontId="2" fillId="3" borderId="4" xfId="0" applyFont="1" applyFill="1" applyBorder="1"/>
    <xf numFmtId="0" fontId="3" fillId="2" borderId="0" xfId="0" applyFont="1" applyFill="1" applyAlignment="1">
      <alignment horizontal="center"/>
    </xf>
    <xf numFmtId="14" fontId="0" fillId="0" borderId="2" xfId="0" applyNumberFormat="1" applyBorder="1"/>
    <xf numFmtId="0" fontId="2" fillId="3" borderId="7" xfId="0" applyFont="1" applyFill="1" applyBorder="1"/>
    <xf numFmtId="14" fontId="0" fillId="0" borderId="0" xfId="0" applyNumberFormat="1"/>
    <xf numFmtId="0" fontId="6" fillId="0" borderId="4" xfId="0" applyFont="1" applyBorder="1"/>
    <xf numFmtId="0" fontId="7" fillId="2" borderId="8" xfId="0" applyFont="1" applyFill="1" applyBorder="1"/>
    <xf numFmtId="0" fontId="7" fillId="2" borderId="9" xfId="0" applyFont="1" applyFill="1" applyBorder="1"/>
    <xf numFmtId="0" fontId="7" fillId="2" borderId="10" xfId="0" applyFont="1" applyFill="1" applyBorder="1"/>
    <xf numFmtId="0" fontId="0" fillId="0" borderId="11" xfId="0" applyBorder="1"/>
    <xf numFmtId="0" fontId="2" fillId="3" borderId="11" xfId="0" applyFont="1" applyFill="1" applyBorder="1"/>
    <xf numFmtId="0" fontId="2" fillId="3" borderId="12" xfId="0" applyFont="1" applyFill="1" applyBorder="1"/>
    <xf numFmtId="0" fontId="1" fillId="0" borderId="1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D4B191A1-EC11-4E8C-8BEB-A8C1732645C3}" autoFormatId="16" applyNumberFormats="0" applyBorderFormats="0" applyFontFormats="0" applyPatternFormats="0" applyAlignmentFormats="0" applyWidthHeightFormats="0">
  <queryTableRefresh nextId="13">
    <queryTableFields count="12">
      <queryTableField id="1" name="Type (O,M,T,C)" tableColumnId="1"/>
      <queryTableField id="2" name="Tag #" tableColumnId="2"/>
      <queryTableField id="3" name="Pieces" tableColumnId="3"/>
      <queryTableField id="4" name="UNIT" tableColumnId="4"/>
      <queryTableField id="5" name="Location" tableColumnId="5"/>
      <queryTableField id="6" name="Date UP" tableColumnId="6"/>
      <queryTableField id="7" name="Date Down" tableColumnId="7"/>
      <queryTableField id="8" name="Invoice Amount" tableColumnId="8"/>
      <queryTableField id="9" name="ACTIVEDAYS" tableColumnId="9"/>
      <queryTableField id="10" name="RDays" tableColumnId="10"/>
      <queryTableField id="11" name="Work" tableColumnId="11"/>
      <queryTableField id="12" name="Labor WO / Network #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9555BE9-A7E8-4468-BFEB-399FCA88BF2D}" autoFormatId="16" applyNumberFormats="0" applyBorderFormats="0" applyFontFormats="0" applyPatternFormats="0" applyAlignmentFormats="0" applyWidthHeightFormats="0">
  <queryTableRefresh nextId="11">
    <queryTableFields count="10">
      <queryTableField id="1" name="Labor WO / Network #" tableColumnId="1"/>
      <queryTableField id="2" name="Type (O,M,T,C)" tableColumnId="2"/>
      <queryTableField id="3" name="Tag #" tableColumnId="3"/>
      <queryTableField id="4" name="UNIT" tableColumnId="4"/>
      <queryTableField id="5" name="Location" tableColumnId="5"/>
      <queryTableField id="6" name="Date UP" tableColumnId="6"/>
      <queryTableField id="7" name="Date Down" tableColumnId="7"/>
      <queryTableField id="8" name="SRLS" tableColumnId="8"/>
      <queryTableField id="9" name="Invoice Amount" tableColumnId="9"/>
      <queryTableField id="10" name="ACTIVEDAY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D7962D-4440-4CAD-9C2B-49CF9E92F693}" name="InvoiceMaterialExcel" displayName="InvoiceMaterialExcel" ref="A5:L43" tableType="queryTable" totalsRowShown="0" headerRowDxfId="17" tableBorderDxfId="16">
  <autoFilter ref="A5:L43" xr:uid="{C5D7962D-4440-4CAD-9C2B-49CF9E92F693}"/>
  <tableColumns count="12">
    <tableColumn id="1" xr3:uid="{29E2F254-67CB-4734-8338-3D309AFBE0B9}" uniqueName="1" name="Type (O,M,T,C)" queryTableFieldId="1" dataDxfId="15"/>
    <tableColumn id="2" xr3:uid="{D61C8553-A45F-4295-8C7E-42515E735C89}" uniqueName="2" name="Tag #" queryTableFieldId="2" dataDxfId="14"/>
    <tableColumn id="3" xr3:uid="{E8AD988B-E316-45C7-8BA2-F96F3868115A}" uniqueName="3" name="Pieces" queryTableFieldId="3"/>
    <tableColumn id="4" xr3:uid="{07839B3A-A902-4874-83A2-C627140D8B32}" uniqueName="4" name="UNIT" queryTableFieldId="4" dataDxfId="13"/>
    <tableColumn id="5" xr3:uid="{69C37902-646F-4DBC-9801-088A55FED67C}" uniqueName="5" name="Location" queryTableFieldId="5" dataDxfId="12"/>
    <tableColumn id="6" xr3:uid="{CB150E64-396A-4DED-8457-DD8C059DF97B}" uniqueName="6" name="Date UP" queryTableFieldId="6" dataDxfId="11"/>
    <tableColumn id="7" xr3:uid="{C0935598-130A-4B46-A5F8-6F966315E093}" uniqueName="7" name="Date Down" queryTableFieldId="7" dataDxfId="10"/>
    <tableColumn id="8" xr3:uid="{64562B32-BB44-412D-B36A-0981CED39E01}" uniqueName="8" name="Invoice Amount" queryTableFieldId="8"/>
    <tableColumn id="9" xr3:uid="{117DCFA9-DFFE-44B2-91D2-8EC96EA9FBAA}" uniqueName="9" name="ACTIVEDAYS" queryTableFieldId="9"/>
    <tableColumn id="10" xr3:uid="{198B11B2-7841-4A51-B3C4-B6138B260314}" uniqueName="10" name="RDays" queryTableFieldId="10"/>
    <tableColumn id="11" xr3:uid="{D269960C-369E-4AF5-9EAF-893EB131F824}" uniqueName="11" name="Work" queryTableFieldId="11" dataDxfId="9"/>
    <tableColumn id="12" xr3:uid="{771BE44B-490F-49C8-B6D3-A6462AB4CF15}" uniqueName="12" name="Labor WO / Network #" queryTableFieldId="12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8B2063-B410-4624-8B74-FA8A845822E7}" name="InvoiceExcelYOYO" displayName="InvoiceExcelYOYO" ref="A5:J22" tableType="queryTable" totalsRowShown="0" headerRowDxfId="7">
  <autoFilter ref="A5:J22" xr:uid="{BB8B2063-B410-4624-8B74-FA8A845822E7}"/>
  <tableColumns count="10">
    <tableColumn id="1" xr3:uid="{2BAD21BE-C89C-49FF-84B2-F4540CC21E57}" uniqueName="1" name="Labor WO / Network #" queryTableFieldId="1" dataDxfId="6"/>
    <tableColumn id="2" xr3:uid="{0D9C786D-05E1-4733-86B9-579368AF2799}" uniqueName="2" name="Type (O,M,T,C)" queryTableFieldId="2" dataDxfId="5"/>
    <tableColumn id="3" xr3:uid="{BC88B237-A62C-4DC7-864C-C4E83DA0F740}" uniqueName="3" name="Tag #" queryTableFieldId="3" dataDxfId="4"/>
    <tableColumn id="4" xr3:uid="{807BBEF0-5392-45B9-8C74-C51117727D19}" uniqueName="4" name="UNIT" queryTableFieldId="4" dataDxfId="3"/>
    <tableColumn id="5" xr3:uid="{8C37755F-07FC-4E95-B74A-05ABC28DAA0A}" uniqueName="5" name="Location" queryTableFieldId="5" dataDxfId="2"/>
    <tableColumn id="6" xr3:uid="{444E94A3-D358-4AF2-864D-471C4D76DC46}" uniqueName="6" name="Date UP" queryTableFieldId="6" dataDxfId="1"/>
    <tableColumn id="7" xr3:uid="{CD3EF58E-08B0-47BF-801D-D1A5B6FA492C}" uniqueName="7" name="Date Down" queryTableFieldId="7" dataDxfId="0"/>
    <tableColumn id="8" xr3:uid="{8DCC042E-7966-4992-A188-6E81494748B6}" uniqueName="8" name="SRLS" queryTableFieldId="8"/>
    <tableColumn id="9" xr3:uid="{E04E5E2E-0429-43EA-BCD0-37C4CC60CE65}" uniqueName="9" name="Invoice Amount" queryTableFieldId="9"/>
    <tableColumn id="10" xr3:uid="{3CB3BAEB-44C5-47E7-9A27-8877BCABE28D}" uniqueName="10" name="ACTIVEDAYS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BB563-4785-449F-AAF5-1BCA63F1C3B4}">
  <dimension ref="A1:Z64"/>
  <sheetViews>
    <sheetView tabSelected="1" workbookViewId="0">
      <selection activeCell="A5" sqref="A5:L43"/>
    </sheetView>
  </sheetViews>
  <sheetFormatPr defaultColWidth="11.44140625" defaultRowHeight="14.4" x14ac:dyDescent="0.3"/>
  <cols>
    <col min="1" max="1" width="16.109375" bestFit="1" customWidth="1"/>
    <col min="2" max="2" width="7.6640625" bestFit="1" customWidth="1"/>
    <col min="3" max="3" width="8.44140625" bestFit="1" customWidth="1"/>
    <col min="4" max="4" width="7.44140625" bestFit="1" customWidth="1"/>
    <col min="5" max="5" width="30.21875" bestFit="1" customWidth="1"/>
    <col min="6" max="6" width="10.5546875" bestFit="1" customWidth="1"/>
    <col min="7" max="7" width="12.44140625" bestFit="1" customWidth="1"/>
    <col min="8" max="8" width="16.77734375" bestFit="1" customWidth="1"/>
    <col min="9" max="9" width="13.77734375" bestFit="1" customWidth="1"/>
    <col min="10" max="10" width="8.33203125" bestFit="1" customWidth="1"/>
    <col min="11" max="11" width="7.77734375" bestFit="1" customWidth="1"/>
    <col min="12" max="12" width="22.21875" bestFit="1" customWidth="1"/>
    <col min="13" max="13" width="20" bestFit="1" customWidth="1"/>
    <col min="14" max="14" width="13.88671875" bestFit="1" customWidth="1"/>
    <col min="26" max="26" width="20" bestFit="1" customWidth="1"/>
  </cols>
  <sheetData>
    <row r="1" spans="1:26" x14ac:dyDescent="0.3">
      <c r="A1" s="26" t="s">
        <v>12</v>
      </c>
      <c r="B1" s="26"/>
      <c r="C1" s="26"/>
      <c r="D1" s="26"/>
      <c r="E1" s="26"/>
      <c r="F1" s="26"/>
      <c r="G1" s="26"/>
      <c r="H1" s="5"/>
      <c r="I1" s="5"/>
      <c r="J1" s="6" t="s">
        <v>13</v>
      </c>
      <c r="K1" s="15"/>
      <c r="L1" s="5"/>
      <c r="N1" s="19" t="s">
        <v>0</v>
      </c>
      <c r="O1" s="20" t="s">
        <v>7</v>
      </c>
      <c r="P1" s="20" t="s">
        <v>1</v>
      </c>
      <c r="Q1" s="20" t="s">
        <v>8</v>
      </c>
      <c r="R1" s="20" t="s">
        <v>17</v>
      </c>
      <c r="S1" s="20" t="s">
        <v>2</v>
      </c>
      <c r="T1" s="20" t="s">
        <v>3</v>
      </c>
      <c r="U1" s="20" t="s">
        <v>9</v>
      </c>
      <c r="V1" s="20" t="s">
        <v>4</v>
      </c>
      <c r="W1" s="20" t="s">
        <v>10</v>
      </c>
      <c r="X1" s="20" t="s">
        <v>5</v>
      </c>
      <c r="Y1" s="20" t="s">
        <v>6</v>
      </c>
      <c r="Z1" s="21" t="s">
        <v>16</v>
      </c>
    </row>
    <row r="2" spans="1:26" x14ac:dyDescent="0.3">
      <c r="J2" s="2" t="s">
        <v>14</v>
      </c>
      <c r="K2" s="17"/>
      <c r="L2" s="18">
        <f>K2-(K1-1)</f>
        <v>1</v>
      </c>
      <c r="M2" s="3"/>
    </row>
    <row r="3" spans="1:26" x14ac:dyDescent="0.3">
      <c r="A3" s="16"/>
      <c r="B3" s="12"/>
      <c r="C3" s="12"/>
      <c r="D3" s="12"/>
      <c r="E3" s="12"/>
      <c r="F3" s="12"/>
      <c r="G3" s="12"/>
      <c r="H3" s="12"/>
      <c r="I3" s="12"/>
      <c r="J3" s="12"/>
      <c r="K3" s="12"/>
      <c r="L3" s="23"/>
      <c r="M3" s="23"/>
      <c r="N3" s="24"/>
    </row>
    <row r="4" spans="1:26" x14ac:dyDescent="0.3">
      <c r="A4" s="25" t="s">
        <v>11</v>
      </c>
      <c r="B4" s="25"/>
      <c r="C4" s="25"/>
      <c r="D4" s="25"/>
      <c r="E4" s="25"/>
      <c r="F4" s="25"/>
      <c r="G4" s="25"/>
      <c r="H4" s="22"/>
      <c r="I4" s="22"/>
      <c r="J4" s="22"/>
      <c r="K4" s="22"/>
      <c r="L4" s="27" t="s">
        <v>15</v>
      </c>
      <c r="M4" s="27"/>
      <c r="N4" s="27"/>
      <c r="O4" s="27"/>
      <c r="P4" s="27"/>
      <c r="Q4" s="27"/>
    </row>
    <row r="5" spans="1:26" x14ac:dyDescent="0.3">
      <c r="A5" s="1" t="s">
        <v>0</v>
      </c>
      <c r="B5" s="1" t="s">
        <v>7</v>
      </c>
      <c r="C5" s="1" t="s">
        <v>1</v>
      </c>
      <c r="D5" s="1" t="s">
        <v>8</v>
      </c>
      <c r="E5" s="1" t="s">
        <v>2</v>
      </c>
      <c r="F5" s="1" t="s">
        <v>3</v>
      </c>
      <c r="G5" s="1" t="s">
        <v>9</v>
      </c>
      <c r="H5" s="1" t="s">
        <v>4</v>
      </c>
      <c r="I5" s="1" t="s">
        <v>10</v>
      </c>
      <c r="J5" s="1" t="s">
        <v>5</v>
      </c>
      <c r="K5" s="1" t="s">
        <v>6</v>
      </c>
      <c r="L5" s="1" t="s">
        <v>16</v>
      </c>
    </row>
    <row r="6" spans="1:26" x14ac:dyDescent="0.3">
      <c r="A6" t="s">
        <v>19</v>
      </c>
      <c r="B6" t="s">
        <v>20</v>
      </c>
      <c r="C6">
        <v>94</v>
      </c>
      <c r="D6" t="s">
        <v>21</v>
      </c>
      <c r="E6" t="s">
        <v>22</v>
      </c>
      <c r="F6" t="s">
        <v>23</v>
      </c>
      <c r="G6" t="s">
        <v>24</v>
      </c>
      <c r="H6">
        <v>76.140000000000015</v>
      </c>
      <c r="I6">
        <v>282</v>
      </c>
      <c r="J6">
        <v>27</v>
      </c>
      <c r="K6" t="s">
        <v>25</v>
      </c>
      <c r="L6" t="s">
        <v>18</v>
      </c>
    </row>
    <row r="7" spans="1:26" x14ac:dyDescent="0.3">
      <c r="A7" t="s">
        <v>19</v>
      </c>
      <c r="B7" t="s">
        <v>26</v>
      </c>
      <c r="C7">
        <v>46</v>
      </c>
      <c r="D7" t="s">
        <v>21</v>
      </c>
      <c r="E7" t="s">
        <v>27</v>
      </c>
      <c r="F7" t="s">
        <v>28</v>
      </c>
      <c r="G7" t="s">
        <v>24</v>
      </c>
      <c r="H7">
        <v>37.260000000000012</v>
      </c>
      <c r="I7">
        <v>280</v>
      </c>
      <c r="J7">
        <v>27</v>
      </c>
      <c r="K7" t="s">
        <v>25</v>
      </c>
      <c r="L7" t="s">
        <v>18</v>
      </c>
    </row>
    <row r="8" spans="1:26" x14ac:dyDescent="0.3">
      <c r="A8" t="s">
        <v>19</v>
      </c>
      <c r="B8" t="s">
        <v>29</v>
      </c>
      <c r="C8">
        <v>49</v>
      </c>
      <c r="D8" t="s">
        <v>21</v>
      </c>
      <c r="E8" t="s">
        <v>30</v>
      </c>
      <c r="F8" t="s">
        <v>31</v>
      </c>
      <c r="G8" t="s">
        <v>24</v>
      </c>
      <c r="H8">
        <v>39.69</v>
      </c>
      <c r="I8">
        <v>279</v>
      </c>
      <c r="J8">
        <v>27</v>
      </c>
      <c r="K8" t="s">
        <v>25</v>
      </c>
      <c r="L8" t="s">
        <v>18</v>
      </c>
    </row>
    <row r="9" spans="1:26" x14ac:dyDescent="0.3">
      <c r="A9" t="s">
        <v>19</v>
      </c>
      <c r="B9" t="s">
        <v>32</v>
      </c>
      <c r="C9">
        <v>149</v>
      </c>
      <c r="D9" t="s">
        <v>21</v>
      </c>
      <c r="E9" t="s">
        <v>33</v>
      </c>
      <c r="F9" t="s">
        <v>34</v>
      </c>
      <c r="G9" t="s">
        <v>24</v>
      </c>
      <c r="H9">
        <v>120.69</v>
      </c>
      <c r="I9">
        <v>278</v>
      </c>
      <c r="J9">
        <v>27</v>
      </c>
      <c r="K9" t="s">
        <v>25</v>
      </c>
      <c r="L9" t="s">
        <v>18</v>
      </c>
    </row>
    <row r="10" spans="1:26" x14ac:dyDescent="0.3">
      <c r="A10" t="s">
        <v>19</v>
      </c>
      <c r="B10" t="s">
        <v>40</v>
      </c>
      <c r="C10">
        <v>43</v>
      </c>
      <c r="D10" t="s">
        <v>21</v>
      </c>
      <c r="E10" t="s">
        <v>41</v>
      </c>
      <c r="F10" t="s">
        <v>42</v>
      </c>
      <c r="G10" t="s">
        <v>24</v>
      </c>
      <c r="H10">
        <v>34.83</v>
      </c>
      <c r="I10">
        <v>271</v>
      </c>
      <c r="J10">
        <v>27</v>
      </c>
      <c r="K10" t="s">
        <v>25</v>
      </c>
      <c r="L10" t="s">
        <v>18</v>
      </c>
    </row>
    <row r="11" spans="1:26" x14ac:dyDescent="0.3">
      <c r="A11" t="s">
        <v>19</v>
      </c>
      <c r="B11" t="s">
        <v>43</v>
      </c>
      <c r="C11">
        <v>28</v>
      </c>
      <c r="D11" t="s">
        <v>21</v>
      </c>
      <c r="E11" t="s">
        <v>44</v>
      </c>
      <c r="F11" t="s">
        <v>45</v>
      </c>
      <c r="G11" t="s">
        <v>24</v>
      </c>
      <c r="H11">
        <v>22.679999999999996</v>
      </c>
      <c r="I11">
        <v>270</v>
      </c>
      <c r="J11">
        <v>27</v>
      </c>
      <c r="K11" t="s">
        <v>25</v>
      </c>
      <c r="L11" t="s">
        <v>18</v>
      </c>
    </row>
    <row r="12" spans="1:26" x14ac:dyDescent="0.3">
      <c r="A12" t="s">
        <v>19</v>
      </c>
      <c r="B12" t="s">
        <v>46</v>
      </c>
      <c r="C12">
        <v>46</v>
      </c>
      <c r="D12" t="s">
        <v>21</v>
      </c>
      <c r="E12" t="s">
        <v>47</v>
      </c>
      <c r="F12" t="s">
        <v>48</v>
      </c>
      <c r="G12" t="s">
        <v>24</v>
      </c>
      <c r="H12">
        <v>37.260000000000005</v>
      </c>
      <c r="I12">
        <v>269</v>
      </c>
      <c r="J12">
        <v>27</v>
      </c>
      <c r="K12" t="s">
        <v>25</v>
      </c>
      <c r="L12" t="s">
        <v>18</v>
      </c>
    </row>
    <row r="13" spans="1:26" x14ac:dyDescent="0.3">
      <c r="A13" t="s">
        <v>19</v>
      </c>
      <c r="B13" t="s">
        <v>49</v>
      </c>
      <c r="C13">
        <v>80</v>
      </c>
      <c r="D13" t="s">
        <v>21</v>
      </c>
      <c r="E13" t="s">
        <v>50</v>
      </c>
      <c r="F13" t="s">
        <v>51</v>
      </c>
      <c r="G13" t="s">
        <v>24</v>
      </c>
      <c r="H13">
        <v>64.800000000000011</v>
      </c>
      <c r="I13">
        <v>264</v>
      </c>
      <c r="J13">
        <v>27</v>
      </c>
      <c r="K13" t="s">
        <v>25</v>
      </c>
      <c r="L13" t="s">
        <v>18</v>
      </c>
    </row>
    <row r="14" spans="1:26" x14ac:dyDescent="0.3">
      <c r="A14" t="s">
        <v>19</v>
      </c>
      <c r="B14" t="s">
        <v>71</v>
      </c>
      <c r="C14">
        <v>120</v>
      </c>
      <c r="D14" t="s">
        <v>21</v>
      </c>
      <c r="E14" t="s">
        <v>72</v>
      </c>
      <c r="F14" t="s">
        <v>60</v>
      </c>
      <c r="G14" t="s">
        <v>24</v>
      </c>
      <c r="H14">
        <v>97.2</v>
      </c>
      <c r="I14">
        <v>257</v>
      </c>
      <c r="J14">
        <v>27</v>
      </c>
      <c r="K14" t="s">
        <v>25</v>
      </c>
      <c r="L14" t="s">
        <v>18</v>
      </c>
    </row>
    <row r="15" spans="1:26" x14ac:dyDescent="0.3">
      <c r="A15" t="s">
        <v>19</v>
      </c>
      <c r="B15" t="s">
        <v>73</v>
      </c>
      <c r="C15">
        <v>51</v>
      </c>
      <c r="D15" t="s">
        <v>74</v>
      </c>
      <c r="E15" t="s">
        <v>75</v>
      </c>
      <c r="F15" t="s">
        <v>76</v>
      </c>
      <c r="G15" t="s">
        <v>24</v>
      </c>
      <c r="H15">
        <v>41.310000000000009</v>
      </c>
      <c r="I15">
        <v>255</v>
      </c>
      <c r="J15">
        <v>27</v>
      </c>
      <c r="K15" t="s">
        <v>25</v>
      </c>
      <c r="L15" t="s">
        <v>18</v>
      </c>
    </row>
    <row r="16" spans="1:26" x14ac:dyDescent="0.3">
      <c r="A16" t="s">
        <v>19</v>
      </c>
      <c r="B16" t="s">
        <v>80</v>
      </c>
      <c r="C16">
        <v>95</v>
      </c>
      <c r="D16" t="s">
        <v>21</v>
      </c>
      <c r="E16" t="s">
        <v>81</v>
      </c>
      <c r="F16" t="s">
        <v>82</v>
      </c>
      <c r="G16" t="s">
        <v>24</v>
      </c>
      <c r="H16">
        <v>76.949999999999989</v>
      </c>
      <c r="I16">
        <v>246</v>
      </c>
      <c r="J16">
        <v>27</v>
      </c>
      <c r="K16" t="s">
        <v>25</v>
      </c>
      <c r="L16" t="s">
        <v>18</v>
      </c>
    </row>
    <row r="17" spans="1:12" x14ac:dyDescent="0.3">
      <c r="A17" t="s">
        <v>19</v>
      </c>
      <c r="B17" t="s">
        <v>83</v>
      </c>
      <c r="C17">
        <v>110</v>
      </c>
      <c r="D17" t="s">
        <v>21</v>
      </c>
      <c r="E17" t="s">
        <v>84</v>
      </c>
      <c r="F17" t="s">
        <v>82</v>
      </c>
      <c r="G17" t="s">
        <v>24</v>
      </c>
      <c r="H17">
        <v>89.09999999999998</v>
      </c>
      <c r="I17">
        <v>246</v>
      </c>
      <c r="J17">
        <v>27</v>
      </c>
      <c r="K17" t="s">
        <v>25</v>
      </c>
      <c r="L17" t="s">
        <v>18</v>
      </c>
    </row>
    <row r="18" spans="1:12" x14ac:dyDescent="0.3">
      <c r="A18" t="s">
        <v>19</v>
      </c>
      <c r="B18" t="s">
        <v>108</v>
      </c>
      <c r="C18">
        <v>31</v>
      </c>
      <c r="D18" t="s">
        <v>21</v>
      </c>
      <c r="E18" t="s">
        <v>109</v>
      </c>
      <c r="F18" t="s">
        <v>110</v>
      </c>
      <c r="G18" t="s">
        <v>24</v>
      </c>
      <c r="H18">
        <v>25.11</v>
      </c>
      <c r="I18">
        <v>227</v>
      </c>
      <c r="J18">
        <v>27</v>
      </c>
      <c r="K18" t="s">
        <v>25</v>
      </c>
      <c r="L18" t="s">
        <v>18</v>
      </c>
    </row>
    <row r="19" spans="1:12" x14ac:dyDescent="0.3">
      <c r="A19" t="s">
        <v>19</v>
      </c>
      <c r="B19" t="s">
        <v>155</v>
      </c>
      <c r="C19">
        <v>67</v>
      </c>
      <c r="D19" t="s">
        <v>21</v>
      </c>
      <c r="E19" t="s">
        <v>22</v>
      </c>
      <c r="F19" t="s">
        <v>23</v>
      </c>
      <c r="G19" t="s">
        <v>24</v>
      </c>
      <c r="H19">
        <v>54.269999999999996</v>
      </c>
      <c r="I19">
        <v>282</v>
      </c>
      <c r="J19">
        <v>27</v>
      </c>
      <c r="K19" t="s">
        <v>25</v>
      </c>
      <c r="L19" t="s">
        <v>18</v>
      </c>
    </row>
    <row r="20" spans="1:12" x14ac:dyDescent="0.3">
      <c r="A20" t="s">
        <v>19</v>
      </c>
      <c r="B20" t="s">
        <v>78</v>
      </c>
      <c r="C20">
        <v>209</v>
      </c>
      <c r="D20" t="s">
        <v>21</v>
      </c>
      <c r="E20" t="s">
        <v>79</v>
      </c>
      <c r="F20" t="s">
        <v>76</v>
      </c>
      <c r="G20" t="s">
        <v>24</v>
      </c>
      <c r="H20">
        <v>169.29</v>
      </c>
      <c r="I20">
        <v>255</v>
      </c>
      <c r="J20">
        <v>27</v>
      </c>
      <c r="K20" t="s">
        <v>25</v>
      </c>
      <c r="L20" t="s">
        <v>77</v>
      </c>
    </row>
    <row r="21" spans="1:12" x14ac:dyDescent="0.3">
      <c r="A21" t="s">
        <v>19</v>
      </c>
      <c r="B21" t="s">
        <v>127</v>
      </c>
      <c r="C21">
        <v>39</v>
      </c>
      <c r="D21" t="s">
        <v>98</v>
      </c>
      <c r="E21" t="s">
        <v>128</v>
      </c>
      <c r="F21" t="s">
        <v>125</v>
      </c>
      <c r="G21" t="s">
        <v>24</v>
      </c>
      <c r="H21">
        <v>31.589999999999996</v>
      </c>
      <c r="I21">
        <v>215</v>
      </c>
      <c r="J21">
        <v>27</v>
      </c>
      <c r="K21" t="s">
        <v>25</v>
      </c>
      <c r="L21" t="s">
        <v>126</v>
      </c>
    </row>
    <row r="22" spans="1:12" x14ac:dyDescent="0.3">
      <c r="A22" t="s">
        <v>19</v>
      </c>
      <c r="B22" t="s">
        <v>69</v>
      </c>
      <c r="C22">
        <v>49</v>
      </c>
      <c r="D22" t="s">
        <v>54</v>
      </c>
      <c r="E22" t="s">
        <v>70</v>
      </c>
      <c r="F22" t="s">
        <v>65</v>
      </c>
      <c r="G22" t="s">
        <v>24</v>
      </c>
      <c r="H22">
        <v>39.690000000000005</v>
      </c>
      <c r="I22">
        <v>256</v>
      </c>
      <c r="J22">
        <v>27</v>
      </c>
      <c r="K22" t="s">
        <v>25</v>
      </c>
      <c r="L22" t="s">
        <v>68</v>
      </c>
    </row>
    <row r="23" spans="1:12" x14ac:dyDescent="0.3">
      <c r="A23" t="s">
        <v>19</v>
      </c>
      <c r="B23" t="s">
        <v>123</v>
      </c>
      <c r="C23">
        <v>30</v>
      </c>
      <c r="D23" t="s">
        <v>98</v>
      </c>
      <c r="E23" t="s">
        <v>124</v>
      </c>
      <c r="F23" t="s">
        <v>125</v>
      </c>
      <c r="G23" t="s">
        <v>24</v>
      </c>
      <c r="H23">
        <v>24.3</v>
      </c>
      <c r="I23">
        <v>215</v>
      </c>
      <c r="J23">
        <v>27</v>
      </c>
      <c r="K23" t="s">
        <v>25</v>
      </c>
      <c r="L23" t="s">
        <v>122</v>
      </c>
    </row>
    <row r="24" spans="1:12" x14ac:dyDescent="0.3">
      <c r="A24" t="s">
        <v>19</v>
      </c>
      <c r="B24" t="s">
        <v>135</v>
      </c>
      <c r="C24">
        <v>37</v>
      </c>
      <c r="D24" t="s">
        <v>136</v>
      </c>
      <c r="E24" t="s">
        <v>137</v>
      </c>
      <c r="F24" t="s">
        <v>138</v>
      </c>
      <c r="G24" t="s">
        <v>24</v>
      </c>
      <c r="H24">
        <v>29.970000000000002</v>
      </c>
      <c r="I24">
        <v>202</v>
      </c>
      <c r="J24">
        <v>27</v>
      </c>
      <c r="K24" t="s">
        <v>25</v>
      </c>
      <c r="L24" t="s">
        <v>134</v>
      </c>
    </row>
    <row r="25" spans="1:12" x14ac:dyDescent="0.3">
      <c r="A25" t="s">
        <v>19</v>
      </c>
      <c r="B25" t="s">
        <v>116</v>
      </c>
      <c r="C25">
        <v>48</v>
      </c>
      <c r="D25" t="s">
        <v>37</v>
      </c>
      <c r="E25" t="s">
        <v>117</v>
      </c>
      <c r="F25" t="s">
        <v>118</v>
      </c>
      <c r="G25" t="s">
        <v>24</v>
      </c>
      <c r="H25">
        <v>38.879999999999995</v>
      </c>
      <c r="I25">
        <v>223</v>
      </c>
      <c r="J25">
        <v>27</v>
      </c>
      <c r="K25" t="s">
        <v>25</v>
      </c>
      <c r="L25" t="s">
        <v>115</v>
      </c>
    </row>
    <row r="26" spans="1:12" x14ac:dyDescent="0.3">
      <c r="A26" t="s">
        <v>19</v>
      </c>
      <c r="B26" t="s">
        <v>106</v>
      </c>
      <c r="C26">
        <v>44</v>
      </c>
      <c r="D26" t="s">
        <v>98</v>
      </c>
      <c r="E26" t="s">
        <v>107</v>
      </c>
      <c r="F26" t="s">
        <v>104</v>
      </c>
      <c r="G26" t="s">
        <v>24</v>
      </c>
      <c r="H26">
        <v>35.640000000000008</v>
      </c>
      <c r="I26">
        <v>229</v>
      </c>
      <c r="J26">
        <v>27</v>
      </c>
      <c r="K26" t="s">
        <v>25</v>
      </c>
      <c r="L26" t="s">
        <v>105</v>
      </c>
    </row>
    <row r="27" spans="1:12" x14ac:dyDescent="0.3">
      <c r="A27" t="s">
        <v>19</v>
      </c>
      <c r="B27" t="s">
        <v>102</v>
      </c>
      <c r="C27">
        <v>40</v>
      </c>
      <c r="D27" t="s">
        <v>54</v>
      </c>
      <c r="E27" t="s">
        <v>103</v>
      </c>
      <c r="F27" t="s">
        <v>104</v>
      </c>
      <c r="G27" t="s">
        <v>24</v>
      </c>
      <c r="H27">
        <v>32.400000000000006</v>
      </c>
      <c r="I27">
        <v>229</v>
      </c>
      <c r="J27">
        <v>27</v>
      </c>
      <c r="K27" t="s">
        <v>25</v>
      </c>
      <c r="L27" t="s">
        <v>101</v>
      </c>
    </row>
    <row r="28" spans="1:12" x14ac:dyDescent="0.3">
      <c r="A28" t="s">
        <v>19</v>
      </c>
      <c r="B28" t="s">
        <v>120</v>
      </c>
      <c r="C28">
        <v>58</v>
      </c>
      <c r="D28" t="s">
        <v>37</v>
      </c>
      <c r="E28" t="s">
        <v>121</v>
      </c>
      <c r="F28" t="s">
        <v>118</v>
      </c>
      <c r="G28" t="s">
        <v>24</v>
      </c>
      <c r="H28">
        <v>46.980000000000004</v>
      </c>
      <c r="I28">
        <v>223</v>
      </c>
      <c r="J28">
        <v>27</v>
      </c>
      <c r="K28" t="s">
        <v>25</v>
      </c>
      <c r="L28" t="s">
        <v>119</v>
      </c>
    </row>
    <row r="29" spans="1:12" x14ac:dyDescent="0.3">
      <c r="A29" t="s">
        <v>19</v>
      </c>
      <c r="B29" t="s">
        <v>90</v>
      </c>
      <c r="C29">
        <v>40</v>
      </c>
      <c r="D29" t="s">
        <v>21</v>
      </c>
      <c r="E29" t="s">
        <v>91</v>
      </c>
      <c r="F29" t="s">
        <v>88</v>
      </c>
      <c r="G29" t="s">
        <v>24</v>
      </c>
      <c r="H29">
        <v>32.400000000000006</v>
      </c>
      <c r="I29">
        <v>244</v>
      </c>
      <c r="J29">
        <v>27</v>
      </c>
      <c r="K29" t="s">
        <v>25</v>
      </c>
      <c r="L29" t="s">
        <v>89</v>
      </c>
    </row>
    <row r="30" spans="1:12" x14ac:dyDescent="0.3">
      <c r="A30" t="s">
        <v>19</v>
      </c>
      <c r="B30" t="s">
        <v>112</v>
      </c>
      <c r="C30">
        <v>38</v>
      </c>
      <c r="D30" t="s">
        <v>98</v>
      </c>
      <c r="E30" t="s">
        <v>113</v>
      </c>
      <c r="F30" t="s">
        <v>114</v>
      </c>
      <c r="G30" t="s">
        <v>24</v>
      </c>
      <c r="H30">
        <v>30.780000000000005</v>
      </c>
      <c r="I30">
        <v>226</v>
      </c>
      <c r="J30">
        <v>27</v>
      </c>
      <c r="K30" t="s">
        <v>25</v>
      </c>
      <c r="L30" t="s">
        <v>111</v>
      </c>
    </row>
    <row r="31" spans="1:12" x14ac:dyDescent="0.3">
      <c r="A31" t="s">
        <v>19</v>
      </c>
      <c r="B31" t="s">
        <v>58</v>
      </c>
      <c r="C31">
        <v>97</v>
      </c>
      <c r="D31" t="s">
        <v>37</v>
      </c>
      <c r="E31" t="s">
        <v>59</v>
      </c>
      <c r="F31" t="s">
        <v>60</v>
      </c>
      <c r="G31" t="s">
        <v>24</v>
      </c>
      <c r="H31">
        <v>78.570000000000022</v>
      </c>
      <c r="I31">
        <v>257</v>
      </c>
      <c r="J31">
        <v>27</v>
      </c>
      <c r="K31" t="s">
        <v>25</v>
      </c>
      <c r="L31" t="s">
        <v>57</v>
      </c>
    </row>
    <row r="32" spans="1:12" x14ac:dyDescent="0.3">
      <c r="A32" t="s">
        <v>19</v>
      </c>
      <c r="B32" t="s">
        <v>93</v>
      </c>
      <c r="C32">
        <v>30</v>
      </c>
      <c r="D32" t="s">
        <v>21</v>
      </c>
      <c r="E32" t="s">
        <v>94</v>
      </c>
      <c r="F32" t="s">
        <v>95</v>
      </c>
      <c r="G32" t="s">
        <v>24</v>
      </c>
      <c r="H32">
        <v>24.299999999999997</v>
      </c>
      <c r="I32">
        <v>239</v>
      </c>
      <c r="J32">
        <v>27</v>
      </c>
      <c r="K32" t="s">
        <v>25</v>
      </c>
      <c r="L32" t="s">
        <v>92</v>
      </c>
    </row>
    <row r="33" spans="1:12" x14ac:dyDescent="0.3">
      <c r="A33" t="s">
        <v>19</v>
      </c>
      <c r="B33" t="s">
        <v>97</v>
      </c>
      <c r="C33">
        <v>31</v>
      </c>
      <c r="D33" t="s">
        <v>98</v>
      </c>
      <c r="E33" t="s">
        <v>99</v>
      </c>
      <c r="F33" t="s">
        <v>100</v>
      </c>
      <c r="G33" t="s">
        <v>24</v>
      </c>
      <c r="H33">
        <v>25.110000000000003</v>
      </c>
      <c r="I33">
        <v>233</v>
      </c>
      <c r="J33">
        <v>27</v>
      </c>
      <c r="K33" t="s">
        <v>25</v>
      </c>
      <c r="L33" t="s">
        <v>96</v>
      </c>
    </row>
    <row r="34" spans="1:12" x14ac:dyDescent="0.3">
      <c r="A34" t="s">
        <v>19</v>
      </c>
      <c r="B34" t="s">
        <v>86</v>
      </c>
      <c r="C34">
        <v>44</v>
      </c>
      <c r="D34" t="s">
        <v>54</v>
      </c>
      <c r="E34" t="s">
        <v>87</v>
      </c>
      <c r="F34" t="s">
        <v>88</v>
      </c>
      <c r="G34" t="s">
        <v>24</v>
      </c>
      <c r="H34">
        <v>35.640000000000008</v>
      </c>
      <c r="I34">
        <v>244</v>
      </c>
      <c r="J34">
        <v>27</v>
      </c>
      <c r="K34" t="s">
        <v>25</v>
      </c>
      <c r="L34" t="s">
        <v>85</v>
      </c>
    </row>
    <row r="35" spans="1:12" x14ac:dyDescent="0.3">
      <c r="A35" t="s">
        <v>19</v>
      </c>
      <c r="B35" t="s">
        <v>53</v>
      </c>
      <c r="C35">
        <v>39</v>
      </c>
      <c r="D35" t="s">
        <v>54</v>
      </c>
      <c r="E35" t="s">
        <v>55</v>
      </c>
      <c r="F35" t="s">
        <v>56</v>
      </c>
      <c r="G35" t="s">
        <v>24</v>
      </c>
      <c r="H35">
        <v>31.589999999999996</v>
      </c>
      <c r="I35">
        <v>261</v>
      </c>
      <c r="J35">
        <v>27</v>
      </c>
      <c r="K35" t="s">
        <v>25</v>
      </c>
      <c r="L35" t="s">
        <v>52</v>
      </c>
    </row>
    <row r="36" spans="1:12" x14ac:dyDescent="0.3">
      <c r="A36" t="s">
        <v>19</v>
      </c>
      <c r="B36" t="s">
        <v>36</v>
      </c>
      <c r="C36">
        <v>39</v>
      </c>
      <c r="D36" t="s">
        <v>37</v>
      </c>
      <c r="E36" t="s">
        <v>38</v>
      </c>
      <c r="F36" t="s">
        <v>39</v>
      </c>
      <c r="G36" t="s">
        <v>24</v>
      </c>
      <c r="H36">
        <v>31.589999999999996</v>
      </c>
      <c r="I36">
        <v>272</v>
      </c>
      <c r="J36">
        <v>27</v>
      </c>
      <c r="K36" t="s">
        <v>25</v>
      </c>
      <c r="L36" t="s">
        <v>35</v>
      </c>
    </row>
    <row r="37" spans="1:12" x14ac:dyDescent="0.3">
      <c r="A37" t="s">
        <v>19</v>
      </c>
      <c r="B37" t="s">
        <v>62</v>
      </c>
      <c r="C37">
        <v>45</v>
      </c>
      <c r="D37" t="s">
        <v>63</v>
      </c>
      <c r="E37" t="s">
        <v>64</v>
      </c>
      <c r="F37" t="s">
        <v>65</v>
      </c>
      <c r="G37" t="s">
        <v>24</v>
      </c>
      <c r="H37">
        <v>36.449999999999996</v>
      </c>
      <c r="I37">
        <v>256</v>
      </c>
      <c r="J37">
        <v>27</v>
      </c>
      <c r="K37" t="s">
        <v>25</v>
      </c>
      <c r="L37" t="s">
        <v>61</v>
      </c>
    </row>
    <row r="38" spans="1:12" x14ac:dyDescent="0.3">
      <c r="A38" t="s">
        <v>19</v>
      </c>
      <c r="B38" t="s">
        <v>66</v>
      </c>
      <c r="C38">
        <v>50</v>
      </c>
      <c r="D38" t="s">
        <v>63</v>
      </c>
      <c r="E38" t="s">
        <v>67</v>
      </c>
      <c r="F38" t="s">
        <v>65</v>
      </c>
      <c r="G38" t="s">
        <v>24</v>
      </c>
      <c r="H38">
        <v>40.5</v>
      </c>
      <c r="I38">
        <v>256</v>
      </c>
      <c r="J38">
        <v>27</v>
      </c>
      <c r="K38" t="s">
        <v>25</v>
      </c>
      <c r="L38" t="s">
        <v>61</v>
      </c>
    </row>
    <row r="39" spans="1:12" x14ac:dyDescent="0.3">
      <c r="A39" t="s">
        <v>19</v>
      </c>
      <c r="B39" t="s">
        <v>148</v>
      </c>
      <c r="C39">
        <v>33</v>
      </c>
      <c r="D39" t="s">
        <v>131</v>
      </c>
      <c r="E39" t="s">
        <v>149</v>
      </c>
      <c r="F39" t="s">
        <v>150</v>
      </c>
      <c r="G39" t="s">
        <v>24</v>
      </c>
      <c r="H39">
        <v>26.730000000000004</v>
      </c>
      <c r="I39">
        <v>194</v>
      </c>
      <c r="J39">
        <v>27</v>
      </c>
      <c r="K39" t="s">
        <v>25</v>
      </c>
      <c r="L39" t="s">
        <v>147</v>
      </c>
    </row>
    <row r="40" spans="1:12" x14ac:dyDescent="0.3">
      <c r="A40" t="s">
        <v>19</v>
      </c>
      <c r="B40" t="s">
        <v>130</v>
      </c>
      <c r="C40">
        <v>92</v>
      </c>
      <c r="D40" t="s">
        <v>131</v>
      </c>
      <c r="E40" t="s">
        <v>132</v>
      </c>
      <c r="F40" t="s">
        <v>133</v>
      </c>
      <c r="G40" t="s">
        <v>24</v>
      </c>
      <c r="H40">
        <v>74.520000000000024</v>
      </c>
      <c r="I40">
        <v>203</v>
      </c>
      <c r="J40">
        <v>27</v>
      </c>
      <c r="K40" t="s">
        <v>25</v>
      </c>
      <c r="L40" t="s">
        <v>129</v>
      </c>
    </row>
    <row r="41" spans="1:12" x14ac:dyDescent="0.3">
      <c r="A41" t="s">
        <v>19</v>
      </c>
      <c r="B41" t="s">
        <v>152</v>
      </c>
      <c r="C41">
        <v>34</v>
      </c>
      <c r="D41" t="s">
        <v>131</v>
      </c>
      <c r="E41" t="s">
        <v>153</v>
      </c>
      <c r="F41" t="s">
        <v>154</v>
      </c>
      <c r="G41" t="s">
        <v>24</v>
      </c>
      <c r="H41">
        <v>27.54</v>
      </c>
      <c r="I41">
        <v>184</v>
      </c>
      <c r="J41">
        <v>27</v>
      </c>
      <c r="K41" t="s">
        <v>25</v>
      </c>
      <c r="L41" t="s">
        <v>151</v>
      </c>
    </row>
    <row r="42" spans="1:12" x14ac:dyDescent="0.3">
      <c r="A42" t="s">
        <v>19</v>
      </c>
      <c r="B42" t="s">
        <v>140</v>
      </c>
      <c r="C42">
        <v>39</v>
      </c>
      <c r="D42" t="s">
        <v>54</v>
      </c>
      <c r="E42" t="s">
        <v>141</v>
      </c>
      <c r="F42" t="s">
        <v>142</v>
      </c>
      <c r="G42" t="s">
        <v>24</v>
      </c>
      <c r="H42">
        <v>31.590000000000003</v>
      </c>
      <c r="I42">
        <v>201</v>
      </c>
      <c r="J42">
        <v>27</v>
      </c>
      <c r="K42" t="s">
        <v>25</v>
      </c>
      <c r="L42" t="s">
        <v>139</v>
      </c>
    </row>
    <row r="43" spans="1:12" x14ac:dyDescent="0.3">
      <c r="A43" t="s">
        <v>19</v>
      </c>
      <c r="B43" t="s">
        <v>144</v>
      </c>
      <c r="C43">
        <v>33</v>
      </c>
      <c r="D43" t="s">
        <v>98</v>
      </c>
      <c r="E43" t="s">
        <v>145</v>
      </c>
      <c r="F43" t="s">
        <v>146</v>
      </c>
      <c r="G43" t="s">
        <v>24</v>
      </c>
      <c r="H43">
        <v>26.730000000000004</v>
      </c>
      <c r="I43">
        <v>195</v>
      </c>
      <c r="J43">
        <v>27</v>
      </c>
      <c r="K43" t="s">
        <v>25</v>
      </c>
      <c r="L43" t="s">
        <v>143</v>
      </c>
    </row>
    <row r="45" spans="1:12" x14ac:dyDescent="0.3">
      <c r="A45" s="4"/>
    </row>
    <row r="46" spans="1:12" x14ac:dyDescent="0.3">
      <c r="A46" s="4"/>
    </row>
    <row r="47" spans="1:12" x14ac:dyDescent="0.3">
      <c r="A47" s="4"/>
    </row>
    <row r="48" spans="1:12" x14ac:dyDescent="0.3">
      <c r="A48" s="4"/>
    </row>
    <row r="49" spans="1:1" x14ac:dyDescent="0.3">
      <c r="A49" s="4"/>
    </row>
    <row r="50" spans="1:1" x14ac:dyDescent="0.3">
      <c r="A50" s="4"/>
    </row>
    <row r="51" spans="1:1" x14ac:dyDescent="0.3">
      <c r="A51" s="4"/>
    </row>
    <row r="52" spans="1:1" x14ac:dyDescent="0.3">
      <c r="A52" s="4"/>
    </row>
    <row r="53" spans="1:1" x14ac:dyDescent="0.3">
      <c r="A53" s="4"/>
    </row>
    <row r="54" spans="1:1" x14ac:dyDescent="0.3">
      <c r="A54" s="4"/>
    </row>
    <row r="55" spans="1:1" x14ac:dyDescent="0.3">
      <c r="A55" s="4"/>
    </row>
    <row r="56" spans="1:1" x14ac:dyDescent="0.3">
      <c r="A56" s="4"/>
    </row>
    <row r="57" spans="1:1" x14ac:dyDescent="0.3">
      <c r="A57" s="4"/>
    </row>
    <row r="58" spans="1:1" x14ac:dyDescent="0.3">
      <c r="A58" s="4"/>
    </row>
    <row r="59" spans="1:1" x14ac:dyDescent="0.3">
      <c r="A59" s="4"/>
    </row>
    <row r="60" spans="1:1" x14ac:dyDescent="0.3">
      <c r="A60" s="4"/>
    </row>
    <row r="61" spans="1:1" x14ac:dyDescent="0.3">
      <c r="A61" s="4"/>
    </row>
    <row r="62" spans="1:1" x14ac:dyDescent="0.3">
      <c r="A62" s="4"/>
    </row>
    <row r="63" spans="1:1" x14ac:dyDescent="0.3">
      <c r="A63" s="4"/>
    </row>
    <row r="64" spans="1:1" x14ac:dyDescent="0.3">
      <c r="A64" s="4"/>
    </row>
  </sheetData>
  <mergeCells count="3">
    <mergeCell ref="A4:G4"/>
    <mergeCell ref="A1:G1"/>
    <mergeCell ref="L4:Q4"/>
  </mergeCells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7257B-8A29-41E9-A359-4D17BE936CD4}">
  <dimension ref="A1:K22"/>
  <sheetViews>
    <sheetView workbookViewId="0">
      <selection activeCell="A5" sqref="A5"/>
    </sheetView>
  </sheetViews>
  <sheetFormatPr defaultColWidth="11.44140625" defaultRowHeight="14.4" x14ac:dyDescent="0.3"/>
  <cols>
    <col min="1" max="1" width="24.44140625" bestFit="1" customWidth="1"/>
    <col min="2" max="2" width="18.33203125" bestFit="1" customWidth="1"/>
    <col min="3" max="3" width="9.88671875" bestFit="1" customWidth="1"/>
    <col min="4" max="4" width="9.6640625" bestFit="1" customWidth="1"/>
    <col min="5" max="5" width="31" bestFit="1" customWidth="1"/>
    <col min="6" max="6" width="12.21875" bestFit="1" customWidth="1"/>
    <col min="7" max="7" width="14.6640625" bestFit="1" customWidth="1"/>
    <col min="8" max="8" width="9.44140625" bestFit="1" customWidth="1"/>
    <col min="9" max="9" width="19" bestFit="1" customWidth="1"/>
    <col min="10" max="10" width="16" bestFit="1" customWidth="1"/>
  </cols>
  <sheetData>
    <row r="1" spans="1:11" x14ac:dyDescent="0.3">
      <c r="A1" s="26" t="s">
        <v>12</v>
      </c>
      <c r="B1" s="26"/>
      <c r="C1" s="26"/>
      <c r="D1" s="26"/>
      <c r="E1" s="26"/>
      <c r="F1" s="26"/>
      <c r="G1" s="5"/>
      <c r="H1" s="5"/>
      <c r="I1" s="7" t="s">
        <v>13</v>
      </c>
      <c r="J1" s="8"/>
    </row>
    <row r="2" spans="1:11" x14ac:dyDescent="0.3">
      <c r="A2" s="9"/>
      <c r="B2" s="9"/>
      <c r="C2" s="9"/>
      <c r="D2" s="9"/>
      <c r="E2" s="9"/>
      <c r="F2" s="9"/>
      <c r="G2" s="9"/>
      <c r="H2" s="9"/>
      <c r="I2" s="10" t="s">
        <v>14</v>
      </c>
      <c r="J2" s="11"/>
      <c r="K2" s="3"/>
    </row>
    <row r="3" spans="1:11" x14ac:dyDescent="0.3">
      <c r="A3" s="12"/>
      <c r="B3" s="12"/>
      <c r="C3" s="12"/>
      <c r="D3" s="12"/>
      <c r="E3" s="12"/>
      <c r="F3" s="12"/>
      <c r="G3" s="12"/>
      <c r="H3" s="12"/>
      <c r="I3" s="12"/>
      <c r="J3" s="13"/>
    </row>
    <row r="4" spans="1:11" x14ac:dyDescent="0.3">
      <c r="A4" s="28" t="s">
        <v>11</v>
      </c>
      <c r="B4" s="28"/>
      <c r="C4" s="28"/>
      <c r="D4" s="28"/>
      <c r="E4" s="28"/>
      <c r="F4" s="28"/>
    </row>
    <row r="5" spans="1:11" x14ac:dyDescent="0.3">
      <c r="A5" s="14" t="s">
        <v>16</v>
      </c>
      <c r="B5" s="14" t="s">
        <v>0</v>
      </c>
      <c r="C5" s="14" t="s">
        <v>7</v>
      </c>
      <c r="D5" s="14" t="s">
        <v>8</v>
      </c>
      <c r="E5" s="14" t="s">
        <v>2</v>
      </c>
      <c r="F5" s="14" t="s">
        <v>3</v>
      </c>
      <c r="G5" s="14" t="s">
        <v>9</v>
      </c>
      <c r="H5" s="14" t="s">
        <v>156</v>
      </c>
      <c r="I5" s="14" t="s">
        <v>4</v>
      </c>
      <c r="J5" s="14" t="s">
        <v>10</v>
      </c>
    </row>
    <row r="6" spans="1:11" x14ac:dyDescent="0.3">
      <c r="A6" t="s">
        <v>157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24</v>
      </c>
      <c r="H6">
        <v>1</v>
      </c>
      <c r="I6">
        <v>216</v>
      </c>
      <c r="J6">
        <v>72</v>
      </c>
    </row>
    <row r="7" spans="1:11" x14ac:dyDescent="0.3">
      <c r="A7" t="s">
        <v>157</v>
      </c>
      <c r="B7" t="s">
        <v>158</v>
      </c>
      <c r="C7" t="s">
        <v>163</v>
      </c>
      <c r="D7" t="s">
        <v>160</v>
      </c>
      <c r="E7" t="s">
        <v>161</v>
      </c>
      <c r="F7" t="s">
        <v>162</v>
      </c>
      <c r="G7" t="s">
        <v>24</v>
      </c>
      <c r="H7">
        <v>1</v>
      </c>
      <c r="I7">
        <v>216</v>
      </c>
      <c r="J7">
        <v>72</v>
      </c>
    </row>
    <row r="8" spans="1:11" x14ac:dyDescent="0.3">
      <c r="A8" t="s">
        <v>157</v>
      </c>
      <c r="B8" t="s">
        <v>158</v>
      </c>
      <c r="C8" t="s">
        <v>164</v>
      </c>
      <c r="D8" t="s">
        <v>160</v>
      </c>
      <c r="E8" t="s">
        <v>161</v>
      </c>
      <c r="F8" t="s">
        <v>162</v>
      </c>
      <c r="G8" t="s">
        <v>24</v>
      </c>
      <c r="H8">
        <v>4</v>
      </c>
      <c r="I8">
        <v>864</v>
      </c>
      <c r="J8">
        <v>72</v>
      </c>
    </row>
    <row r="9" spans="1:11" x14ac:dyDescent="0.3">
      <c r="A9" t="s">
        <v>157</v>
      </c>
      <c r="B9" t="s">
        <v>158</v>
      </c>
      <c r="C9" t="s">
        <v>165</v>
      </c>
      <c r="D9" t="s">
        <v>160</v>
      </c>
      <c r="E9" t="s">
        <v>166</v>
      </c>
      <c r="F9" t="s">
        <v>167</v>
      </c>
      <c r="G9" t="s">
        <v>24</v>
      </c>
      <c r="H9">
        <v>6</v>
      </c>
      <c r="I9">
        <v>810</v>
      </c>
      <c r="J9">
        <v>45</v>
      </c>
    </row>
    <row r="10" spans="1:11" x14ac:dyDescent="0.3">
      <c r="A10" t="s">
        <v>157</v>
      </c>
      <c r="B10" t="s">
        <v>158</v>
      </c>
      <c r="C10" t="s">
        <v>168</v>
      </c>
      <c r="D10" t="s">
        <v>160</v>
      </c>
      <c r="E10" t="s">
        <v>169</v>
      </c>
      <c r="F10" t="s">
        <v>170</v>
      </c>
      <c r="G10" t="s">
        <v>24</v>
      </c>
      <c r="H10">
        <v>2</v>
      </c>
      <c r="I10">
        <v>246</v>
      </c>
      <c r="J10">
        <v>41</v>
      </c>
    </row>
    <row r="11" spans="1:11" x14ac:dyDescent="0.3">
      <c r="A11" t="s">
        <v>157</v>
      </c>
      <c r="B11" t="s">
        <v>158</v>
      </c>
      <c r="C11" t="s">
        <v>171</v>
      </c>
      <c r="D11" t="s">
        <v>160</v>
      </c>
      <c r="E11" t="s">
        <v>172</v>
      </c>
      <c r="F11" t="s">
        <v>173</v>
      </c>
      <c r="G11" t="s">
        <v>24</v>
      </c>
      <c r="H11">
        <v>5</v>
      </c>
      <c r="I11">
        <v>525</v>
      </c>
      <c r="J11">
        <v>35</v>
      </c>
    </row>
    <row r="12" spans="1:11" x14ac:dyDescent="0.3">
      <c r="A12" t="s">
        <v>157</v>
      </c>
      <c r="B12" t="s">
        <v>158</v>
      </c>
      <c r="C12" t="s">
        <v>174</v>
      </c>
      <c r="D12" t="s">
        <v>160</v>
      </c>
      <c r="E12" t="s">
        <v>175</v>
      </c>
      <c r="F12" t="s">
        <v>176</v>
      </c>
      <c r="G12" t="s">
        <v>24</v>
      </c>
      <c r="H12">
        <v>2</v>
      </c>
      <c r="I12">
        <v>234</v>
      </c>
      <c r="J12">
        <v>39</v>
      </c>
    </row>
    <row r="13" spans="1:11" x14ac:dyDescent="0.3">
      <c r="A13" t="s">
        <v>157</v>
      </c>
      <c r="B13" t="s">
        <v>158</v>
      </c>
      <c r="C13" t="s">
        <v>177</v>
      </c>
      <c r="D13" t="s">
        <v>160</v>
      </c>
      <c r="E13" t="s">
        <v>178</v>
      </c>
      <c r="F13" t="s">
        <v>179</v>
      </c>
      <c r="G13" t="s">
        <v>24</v>
      </c>
      <c r="H13">
        <v>2</v>
      </c>
      <c r="I13">
        <v>222</v>
      </c>
      <c r="J13">
        <v>37</v>
      </c>
    </row>
    <row r="14" spans="1:11" x14ac:dyDescent="0.3">
      <c r="A14" t="s">
        <v>157</v>
      </c>
      <c r="B14" t="s">
        <v>158</v>
      </c>
      <c r="C14" t="s">
        <v>180</v>
      </c>
      <c r="D14" t="s">
        <v>160</v>
      </c>
      <c r="E14" t="s">
        <v>181</v>
      </c>
      <c r="F14" t="s">
        <v>182</v>
      </c>
      <c r="G14" t="s">
        <v>24</v>
      </c>
      <c r="H14">
        <v>1</v>
      </c>
      <c r="I14">
        <v>96</v>
      </c>
      <c r="J14">
        <v>32</v>
      </c>
    </row>
    <row r="15" spans="1:11" x14ac:dyDescent="0.3">
      <c r="A15" t="s">
        <v>157</v>
      </c>
      <c r="B15" t="s">
        <v>158</v>
      </c>
      <c r="C15" t="s">
        <v>183</v>
      </c>
      <c r="D15" t="s">
        <v>160</v>
      </c>
      <c r="E15" t="s">
        <v>184</v>
      </c>
      <c r="F15" t="s">
        <v>182</v>
      </c>
      <c r="G15" t="s">
        <v>24</v>
      </c>
      <c r="H15">
        <v>4</v>
      </c>
      <c r="I15">
        <v>384</v>
      </c>
      <c r="J15">
        <v>32</v>
      </c>
    </row>
    <row r="16" spans="1:11" x14ac:dyDescent="0.3">
      <c r="A16" t="s">
        <v>157</v>
      </c>
      <c r="B16" t="s">
        <v>158</v>
      </c>
      <c r="C16" t="s">
        <v>185</v>
      </c>
      <c r="D16" t="s">
        <v>160</v>
      </c>
      <c r="E16" t="s">
        <v>178</v>
      </c>
      <c r="F16" t="s">
        <v>186</v>
      </c>
      <c r="G16" t="s">
        <v>24</v>
      </c>
      <c r="H16">
        <v>1</v>
      </c>
      <c r="I16">
        <v>99</v>
      </c>
      <c r="J16">
        <v>33</v>
      </c>
    </row>
    <row r="17" spans="1:10" x14ac:dyDescent="0.3">
      <c r="A17" t="s">
        <v>157</v>
      </c>
      <c r="B17" t="s">
        <v>158</v>
      </c>
      <c r="C17" t="s">
        <v>187</v>
      </c>
      <c r="D17" t="s">
        <v>160</v>
      </c>
      <c r="E17" t="s">
        <v>178</v>
      </c>
      <c r="F17" t="s">
        <v>186</v>
      </c>
      <c r="G17" t="s">
        <v>24</v>
      </c>
      <c r="H17">
        <v>1</v>
      </c>
      <c r="I17">
        <v>99</v>
      </c>
      <c r="J17">
        <v>33</v>
      </c>
    </row>
    <row r="18" spans="1:10" x14ac:dyDescent="0.3">
      <c r="A18" t="s">
        <v>157</v>
      </c>
      <c r="B18" t="s">
        <v>158</v>
      </c>
      <c r="C18" t="s">
        <v>188</v>
      </c>
      <c r="D18" t="s">
        <v>160</v>
      </c>
      <c r="E18" t="s">
        <v>189</v>
      </c>
      <c r="F18" t="s">
        <v>190</v>
      </c>
      <c r="G18" t="s">
        <v>24</v>
      </c>
      <c r="H18">
        <v>3</v>
      </c>
      <c r="I18">
        <v>279</v>
      </c>
      <c r="J18">
        <v>31</v>
      </c>
    </row>
    <row r="19" spans="1:10" x14ac:dyDescent="0.3">
      <c r="A19" t="s">
        <v>157</v>
      </c>
      <c r="B19" t="s">
        <v>158</v>
      </c>
      <c r="C19" t="s">
        <v>191</v>
      </c>
      <c r="D19" t="s">
        <v>160</v>
      </c>
      <c r="E19" t="s">
        <v>192</v>
      </c>
      <c r="F19" t="s">
        <v>193</v>
      </c>
      <c r="G19" t="s">
        <v>24</v>
      </c>
      <c r="H19">
        <v>10</v>
      </c>
      <c r="I19">
        <v>810</v>
      </c>
      <c r="J19">
        <v>27</v>
      </c>
    </row>
    <row r="20" spans="1:10" x14ac:dyDescent="0.3">
      <c r="A20" t="s">
        <v>157</v>
      </c>
      <c r="B20" t="s">
        <v>158</v>
      </c>
      <c r="C20" t="s">
        <v>194</v>
      </c>
      <c r="D20" t="s">
        <v>160</v>
      </c>
      <c r="E20" t="s">
        <v>195</v>
      </c>
      <c r="F20" t="s">
        <v>196</v>
      </c>
      <c r="G20" t="s">
        <v>24</v>
      </c>
      <c r="H20">
        <v>10</v>
      </c>
      <c r="I20">
        <v>780</v>
      </c>
      <c r="J20">
        <v>26</v>
      </c>
    </row>
    <row r="21" spans="1:10" x14ac:dyDescent="0.3">
      <c r="A21" t="s">
        <v>157</v>
      </c>
      <c r="B21" t="s">
        <v>158</v>
      </c>
      <c r="C21" t="s">
        <v>197</v>
      </c>
      <c r="D21" t="s">
        <v>160</v>
      </c>
      <c r="E21" t="s">
        <v>198</v>
      </c>
      <c r="F21" t="s">
        <v>196</v>
      </c>
      <c r="G21" t="s">
        <v>24</v>
      </c>
      <c r="H21">
        <v>1</v>
      </c>
      <c r="I21">
        <v>78</v>
      </c>
      <c r="J21">
        <v>26</v>
      </c>
    </row>
    <row r="22" spans="1:10" x14ac:dyDescent="0.3">
      <c r="A22" t="s">
        <v>157</v>
      </c>
      <c r="B22" t="s">
        <v>158</v>
      </c>
      <c r="C22" t="s">
        <v>199</v>
      </c>
      <c r="D22" t="s">
        <v>160</v>
      </c>
      <c r="E22" t="s">
        <v>200</v>
      </c>
      <c r="F22" t="s">
        <v>193</v>
      </c>
      <c r="G22" t="s">
        <v>24</v>
      </c>
      <c r="H22">
        <v>1</v>
      </c>
      <c r="I22">
        <v>81</v>
      </c>
      <c r="J22">
        <v>27</v>
      </c>
    </row>
  </sheetData>
  <mergeCells count="2">
    <mergeCell ref="A1:F1"/>
    <mergeCell ref="A4:F4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53CA9-43D4-43F6-AC6E-7B7CE31F7C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Pieces</vt:lpstr>
      <vt:lpstr>SRLs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jorge isaac contreras zamora</cp:lastModifiedBy>
  <dcterms:created xsi:type="dcterms:W3CDTF">2022-04-10T00:37:49Z</dcterms:created>
  <dcterms:modified xsi:type="dcterms:W3CDTF">2026-05-17T18:43:39Z</dcterms:modified>
</cp:coreProperties>
</file>