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aac\source\repos\AVT_TRAKING\AVT_TRAKING-b5a19f52c2a889d8592336db032ecf143043f8f5\AVT_TRAKING\AVT_TRAKING\Documents\ExcelDoc\"/>
    </mc:Choice>
  </mc:AlternateContent>
  <xr:revisionPtr revIDLastSave="0" documentId="13_ncr:1_{0D57EB8F-36F5-4908-81E3-94EA1B678D32}" xr6:coauthVersionLast="47" xr6:coauthVersionMax="47" xr10:uidLastSave="{00000000-0000-0000-0000-000000000000}"/>
  <bookViews>
    <workbookView xWindow="-120" yWindow="-120" windowWidth="20730" windowHeight="11280" activeTab="4" xr2:uid="{5FDD84B4-641D-488C-B367-B776016AAC78}"/>
  </bookViews>
  <sheets>
    <sheet name="JCD" sheetId="3" r:id="rId1"/>
    <sheet name="Data" sheetId="5" r:id="rId2"/>
    <sheet name="JCD Y" sheetId="11" r:id="rId3"/>
    <sheet name="Data Y" sheetId="9" r:id="rId4"/>
    <sheet name="MaterialUsed" sheetId="14" r:id="rId5"/>
  </sheets>
  <functionGroups builtInGroupCount="19"/>
  <definedNames>
    <definedName name="davesDMN">#REF!</definedName>
    <definedName name="Departments">#REF!</definedName>
    <definedName name="_xlnm.Print_Area" localSheetId="0">JCD!$A$1:$P$138</definedName>
    <definedName name="_xlnm.Print_Area" localSheetId="2">'JCD Y'!$A$1:$P$138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9" i="3" l="1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F47" i="3"/>
  <c r="F46" i="3"/>
  <c r="F55" i="3"/>
  <c r="F57" i="3" s="1"/>
  <c r="F49" i="3"/>
  <c r="F51" i="3" s="1"/>
  <c r="F28" i="3"/>
  <c r="F34" i="3"/>
  <c r="F38" i="3"/>
  <c r="F52" i="3"/>
  <c r="F54" i="3" s="1"/>
  <c r="F39" i="3"/>
  <c r="C42" i="3"/>
  <c r="F5" i="3"/>
  <c r="E5" i="3"/>
  <c r="D5" i="3"/>
  <c r="C5" i="3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F47" i="11"/>
  <c r="K47" i="11" s="1"/>
  <c r="M47" i="11" s="1"/>
  <c r="N47" i="11" s="1"/>
  <c r="F46" i="11"/>
  <c r="H46" i="11" s="1"/>
  <c r="F55" i="11"/>
  <c r="F57" i="11" s="1"/>
  <c r="F49" i="11"/>
  <c r="F51" i="11" s="1"/>
  <c r="F28" i="11"/>
  <c r="H28" i="11" s="1"/>
  <c r="I28" i="11" s="1"/>
  <c r="F34" i="11"/>
  <c r="K34" i="11" s="1"/>
  <c r="M34" i="11" s="1"/>
  <c r="N34" i="11" s="1"/>
  <c r="F38" i="11"/>
  <c r="K38" i="11" s="1"/>
  <c r="M38" i="11" s="1"/>
  <c r="N38" i="11" s="1"/>
  <c r="F52" i="11"/>
  <c r="F54" i="11" s="1"/>
  <c r="F39" i="11"/>
  <c r="H39" i="11" s="1"/>
  <c r="C42" i="11"/>
  <c r="F5" i="11"/>
  <c r="K5" i="11" s="1"/>
  <c r="E5" i="11"/>
  <c r="E26" i="11" s="1"/>
  <c r="E58" i="11" s="1"/>
  <c r="I43" i="11" s="1"/>
  <c r="D5" i="11"/>
  <c r="C5" i="11"/>
  <c r="D46" i="3"/>
  <c r="F43" i="3"/>
  <c r="A58" i="11"/>
  <c r="G48" i="11"/>
  <c r="L47" i="11"/>
  <c r="L46" i="11"/>
  <c r="L48" i="11" s="1"/>
  <c r="D46" i="11"/>
  <c r="L44" i="11"/>
  <c r="G44" i="11"/>
  <c r="M43" i="11"/>
  <c r="O43" i="11" s="1"/>
  <c r="L43" i="11"/>
  <c r="K43" i="11"/>
  <c r="J43" i="11"/>
  <c r="H43" i="11"/>
  <c r="L42" i="11"/>
  <c r="L39" i="11"/>
  <c r="L40" i="11" s="1"/>
  <c r="L38" i="11"/>
  <c r="G36" i="11"/>
  <c r="L34" i="11"/>
  <c r="L36" i="11" s="1"/>
  <c r="N30" i="11"/>
  <c r="M30" i="11"/>
  <c r="O30" i="11" s="1"/>
  <c r="L30" i="11"/>
  <c r="K30" i="11"/>
  <c r="G30" i="11"/>
  <c r="E30" i="11"/>
  <c r="M28" i="11"/>
  <c r="N28" i="11" s="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G5" i="11"/>
  <c r="J2" i="11"/>
  <c r="E1" i="11"/>
  <c r="F36" i="11" l="1"/>
  <c r="H36" i="11" s="1"/>
  <c r="I36" i="11" s="1"/>
  <c r="H47" i="11"/>
  <c r="I47" i="11" s="1"/>
  <c r="F30" i="11"/>
  <c r="H30" i="11" s="1"/>
  <c r="H34" i="11"/>
  <c r="I34" i="11" s="1"/>
  <c r="H38" i="11"/>
  <c r="I38" i="11" s="1"/>
  <c r="F40" i="11"/>
  <c r="H40" i="11" s="1"/>
  <c r="J40" i="11" s="1"/>
  <c r="K39" i="11"/>
  <c r="M39" i="11" s="1"/>
  <c r="N39" i="11" s="1"/>
  <c r="F16" i="11"/>
  <c r="K16" i="11" s="1"/>
  <c r="M16" i="11" s="1"/>
  <c r="N16" i="11" s="1"/>
  <c r="F8" i="11"/>
  <c r="H8" i="11" s="1"/>
  <c r="I8" i="11" s="1"/>
  <c r="F12" i="11"/>
  <c r="K12" i="11" s="1"/>
  <c r="M12" i="11" s="1"/>
  <c r="N12" i="11" s="1"/>
  <c r="G3" i="11"/>
  <c r="I3" i="11" s="1"/>
  <c r="F48" i="11"/>
  <c r="H48" i="11" s="1"/>
  <c r="I48" i="11" s="1"/>
  <c r="K46" i="11"/>
  <c r="M46" i="11" s="1"/>
  <c r="N46" i="11" s="1"/>
  <c r="F7" i="11"/>
  <c r="H7" i="11" s="1"/>
  <c r="I7" i="11" s="1"/>
  <c r="I46" i="11"/>
  <c r="G26" i="11"/>
  <c r="H5" i="11"/>
  <c r="I5" i="11" s="1"/>
  <c r="F11" i="11"/>
  <c r="F15" i="11"/>
  <c r="F19" i="11"/>
  <c r="I39" i="11"/>
  <c r="F42" i="11"/>
  <c r="F24" i="11"/>
  <c r="F22" i="11"/>
  <c r="F21" i="11"/>
  <c r="F25" i="11"/>
  <c r="F23" i="11"/>
  <c r="F17" i="11"/>
  <c r="F9" i="11"/>
  <c r="F20" i="11"/>
  <c r="F18" i="11"/>
  <c r="F14" i="11"/>
  <c r="F10" i="11"/>
  <c r="F6" i="11"/>
  <c r="F13" i="11"/>
  <c r="L5" i="11"/>
  <c r="M5" i="11" s="1"/>
  <c r="N5" i="11" s="1"/>
  <c r="E32" i="11"/>
  <c r="K36" i="11"/>
  <c r="M36" i="11" s="1"/>
  <c r="N43" i="11"/>
  <c r="H46" i="3"/>
  <c r="K39" i="3"/>
  <c r="H38" i="3"/>
  <c r="H34" i="3"/>
  <c r="F30" i="3"/>
  <c r="G5" i="3"/>
  <c r="L5" i="3" s="1"/>
  <c r="K5" i="3"/>
  <c r="E26" i="3"/>
  <c r="E58" i="3" s="1"/>
  <c r="A58" i="3"/>
  <c r="G48" i="3"/>
  <c r="L47" i="3"/>
  <c r="L46" i="3"/>
  <c r="G44" i="3"/>
  <c r="L43" i="3"/>
  <c r="K43" i="3"/>
  <c r="H43" i="3"/>
  <c r="J43" i="3" s="1"/>
  <c r="L42" i="3"/>
  <c r="L39" i="3"/>
  <c r="L38" i="3"/>
  <c r="G36" i="3"/>
  <c r="L34" i="3"/>
  <c r="L36" i="3" s="1"/>
  <c r="L30" i="3"/>
  <c r="K30" i="3"/>
  <c r="G30" i="3"/>
  <c r="E30" i="3"/>
  <c r="M28" i="3"/>
  <c r="N28" i="3" s="1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J2" i="3"/>
  <c r="E1" i="3"/>
  <c r="C26" i="11" l="1"/>
  <c r="K40" i="11"/>
  <c r="M40" i="11" s="1"/>
  <c r="N40" i="11" s="1"/>
  <c r="H12" i="11"/>
  <c r="I12" i="11" s="1"/>
  <c r="J36" i="11"/>
  <c r="J48" i="11"/>
  <c r="I40" i="11"/>
  <c r="H16" i="11"/>
  <c r="I16" i="11" s="1"/>
  <c r="K8" i="11"/>
  <c r="M8" i="11" s="1"/>
  <c r="N8" i="11" s="1"/>
  <c r="K7" i="11"/>
  <c r="M7" i="11" s="1"/>
  <c r="N7" i="11" s="1"/>
  <c r="K48" i="11"/>
  <c r="M48" i="11" s="1"/>
  <c r="O48" i="11" s="1"/>
  <c r="D26" i="11"/>
  <c r="H23" i="11"/>
  <c r="I23" i="11" s="1"/>
  <c r="K23" i="11"/>
  <c r="F26" i="11"/>
  <c r="H6" i="11"/>
  <c r="I6" i="11" s="1"/>
  <c r="K6" i="11"/>
  <c r="H25" i="11"/>
  <c r="I25" i="11" s="1"/>
  <c r="K25" i="11"/>
  <c r="M25" i="11" s="1"/>
  <c r="N25" i="11" s="1"/>
  <c r="H19" i="11"/>
  <c r="I19" i="11" s="1"/>
  <c r="K19" i="11"/>
  <c r="M19" i="11" s="1"/>
  <c r="N19" i="11" s="1"/>
  <c r="G58" i="11"/>
  <c r="G60" i="11" s="1"/>
  <c r="G32" i="11"/>
  <c r="K9" i="11"/>
  <c r="M9" i="11" s="1"/>
  <c r="N9" i="11" s="1"/>
  <c r="H9" i="11"/>
  <c r="I9" i="11" s="1"/>
  <c r="K21" i="11"/>
  <c r="M21" i="11" s="1"/>
  <c r="N21" i="11" s="1"/>
  <c r="H21" i="11"/>
  <c r="I21" i="11" s="1"/>
  <c r="F44" i="11"/>
  <c r="H44" i="11" s="1"/>
  <c r="H42" i="11"/>
  <c r="K42" i="11"/>
  <c r="H15" i="11"/>
  <c r="I15" i="11" s="1"/>
  <c r="K15" i="11"/>
  <c r="M15" i="11" s="1"/>
  <c r="N15" i="11" s="1"/>
  <c r="K13" i="11"/>
  <c r="M13" i="11" s="1"/>
  <c r="N13" i="11" s="1"/>
  <c r="H13" i="11"/>
  <c r="I13" i="11" s="1"/>
  <c r="H18" i="11"/>
  <c r="I18" i="11" s="1"/>
  <c r="K18" i="11"/>
  <c r="M18" i="11" s="1"/>
  <c r="N18" i="11" s="1"/>
  <c r="K24" i="11"/>
  <c r="M24" i="11" s="1"/>
  <c r="N24" i="11" s="1"/>
  <c r="H24" i="11"/>
  <c r="I24" i="11" s="1"/>
  <c r="H20" i="11"/>
  <c r="I20" i="11" s="1"/>
  <c r="K20" i="11"/>
  <c r="M20" i="11" s="1"/>
  <c r="N20" i="11" s="1"/>
  <c r="H10" i="11"/>
  <c r="I10" i="11" s="1"/>
  <c r="K10" i="11"/>
  <c r="M10" i="11" s="1"/>
  <c r="N10" i="11" s="1"/>
  <c r="I30" i="11"/>
  <c r="J30" i="11"/>
  <c r="N36" i="11"/>
  <c r="O36" i="11"/>
  <c r="L26" i="11"/>
  <c r="M3" i="11"/>
  <c r="O3" i="11" s="1"/>
  <c r="H14" i="11"/>
  <c r="I14" i="11" s="1"/>
  <c r="K14" i="11"/>
  <c r="M14" i="11" s="1"/>
  <c r="N14" i="11" s="1"/>
  <c r="K17" i="11"/>
  <c r="M17" i="11" s="1"/>
  <c r="N17" i="11" s="1"/>
  <c r="H17" i="11"/>
  <c r="I17" i="11" s="1"/>
  <c r="K22" i="11"/>
  <c r="M22" i="11" s="1"/>
  <c r="N22" i="11" s="1"/>
  <c r="H22" i="11"/>
  <c r="I22" i="11" s="1"/>
  <c r="H11" i="11"/>
  <c r="I11" i="11" s="1"/>
  <c r="K11" i="11"/>
  <c r="M11" i="11" s="1"/>
  <c r="N11" i="11" s="1"/>
  <c r="H30" i="3"/>
  <c r="J30" i="3" s="1"/>
  <c r="F20" i="3"/>
  <c r="K20" i="3" s="1"/>
  <c r="M20" i="3" s="1"/>
  <c r="N20" i="3" s="1"/>
  <c r="I34" i="3"/>
  <c r="L40" i="3"/>
  <c r="L48" i="3"/>
  <c r="L44" i="3"/>
  <c r="M43" i="3"/>
  <c r="N43" i="3" s="1"/>
  <c r="M30" i="3"/>
  <c r="O30" i="3" s="1"/>
  <c r="F21" i="3"/>
  <c r="H21" i="3" s="1"/>
  <c r="I21" i="3" s="1"/>
  <c r="M39" i="3"/>
  <c r="N39" i="3" s="1"/>
  <c r="F22" i="3"/>
  <c r="L26" i="3"/>
  <c r="F7" i="3"/>
  <c r="K7" i="3" s="1"/>
  <c r="M7" i="3" s="1"/>
  <c r="N7" i="3" s="1"/>
  <c r="F42" i="3"/>
  <c r="F6" i="3"/>
  <c r="K6" i="3" s="1"/>
  <c r="M6" i="3" s="1"/>
  <c r="N6" i="3" s="1"/>
  <c r="K34" i="3"/>
  <c r="K36" i="3" s="1"/>
  <c r="M36" i="3" s="1"/>
  <c r="N36" i="3" s="1"/>
  <c r="F48" i="3"/>
  <c r="H48" i="3" s="1"/>
  <c r="J48" i="3" s="1"/>
  <c r="K46" i="3"/>
  <c r="M46" i="3" s="1"/>
  <c r="N46" i="3" s="1"/>
  <c r="G26" i="3"/>
  <c r="G58" i="3" s="1"/>
  <c r="G60" i="3" s="1"/>
  <c r="H39" i="3"/>
  <c r="H28" i="3"/>
  <c r="I28" i="3" s="1"/>
  <c r="I46" i="3"/>
  <c r="F36" i="3"/>
  <c r="H36" i="3" s="1"/>
  <c r="J36" i="3" s="1"/>
  <c r="F40" i="3"/>
  <c r="H40" i="3" s="1"/>
  <c r="J40" i="3" s="1"/>
  <c r="K38" i="3"/>
  <c r="M38" i="3" s="1"/>
  <c r="N38" i="3" s="1"/>
  <c r="H5" i="3"/>
  <c r="I5" i="3" s="1"/>
  <c r="H47" i="3"/>
  <c r="I47" i="3" s="1"/>
  <c r="K47" i="3"/>
  <c r="G3" i="3"/>
  <c r="C26" i="3" s="1"/>
  <c r="F9" i="3"/>
  <c r="H9" i="3" s="1"/>
  <c r="I9" i="3" s="1"/>
  <c r="F11" i="3"/>
  <c r="K11" i="3" s="1"/>
  <c r="M11" i="3" s="1"/>
  <c r="N11" i="3" s="1"/>
  <c r="F24" i="3"/>
  <c r="H24" i="3" s="1"/>
  <c r="I24" i="3" s="1"/>
  <c r="F18" i="3"/>
  <c r="H18" i="3" s="1"/>
  <c r="I18" i="3" s="1"/>
  <c r="M3" i="3"/>
  <c r="O3" i="3" s="1"/>
  <c r="E32" i="3"/>
  <c r="F16" i="3"/>
  <c r="K16" i="3" s="1"/>
  <c r="M16" i="3" s="1"/>
  <c r="N16" i="3" s="1"/>
  <c r="M5" i="3"/>
  <c r="N5" i="3" s="1"/>
  <c r="I43" i="3"/>
  <c r="I38" i="3"/>
  <c r="F25" i="3"/>
  <c r="K25" i="3" s="1"/>
  <c r="M25" i="3" s="1"/>
  <c r="N25" i="3" s="1"/>
  <c r="F8" i="3"/>
  <c r="F10" i="3"/>
  <c r="F13" i="3"/>
  <c r="F15" i="3"/>
  <c r="K15" i="3" s="1"/>
  <c r="M15" i="3" s="1"/>
  <c r="N15" i="3" s="1"/>
  <c r="F23" i="3"/>
  <c r="K23" i="3" s="1"/>
  <c r="F12" i="3"/>
  <c r="F14" i="3"/>
  <c r="F17" i="3"/>
  <c r="F19" i="3"/>
  <c r="K19" i="3" s="1"/>
  <c r="M19" i="3" s="1"/>
  <c r="N19" i="3" s="1"/>
  <c r="I30" i="3" l="1"/>
  <c r="O40" i="11"/>
  <c r="N48" i="11"/>
  <c r="F58" i="11"/>
  <c r="H26" i="11"/>
  <c r="F32" i="11"/>
  <c r="H32" i="11" s="1"/>
  <c r="K44" i="11"/>
  <c r="M44" i="11" s="1"/>
  <c r="M42" i="11"/>
  <c r="J44" i="11"/>
  <c r="I44" i="11"/>
  <c r="L32" i="11"/>
  <c r="L58" i="11"/>
  <c r="L60" i="11" s="1"/>
  <c r="I42" i="11"/>
  <c r="J42" i="11"/>
  <c r="M6" i="11"/>
  <c r="N6" i="11" s="1"/>
  <c r="K26" i="11"/>
  <c r="I39" i="3"/>
  <c r="N30" i="3"/>
  <c r="L58" i="3"/>
  <c r="L60" i="3" s="1"/>
  <c r="O43" i="3"/>
  <c r="L32" i="3"/>
  <c r="M34" i="3"/>
  <c r="N34" i="3" s="1"/>
  <c r="H20" i="3"/>
  <c r="I20" i="3" s="1"/>
  <c r="G32" i="3"/>
  <c r="I48" i="3"/>
  <c r="I36" i="3"/>
  <c r="O36" i="3"/>
  <c r="K40" i="3"/>
  <c r="M40" i="3" s="1"/>
  <c r="N40" i="3" s="1"/>
  <c r="I40" i="3"/>
  <c r="I3" i="3"/>
  <c r="K18" i="3"/>
  <c r="M18" i="3" s="1"/>
  <c r="N18" i="3" s="1"/>
  <c r="D26" i="3"/>
  <c r="K48" i="3"/>
  <c r="M48" i="3" s="1"/>
  <c r="M47" i="3"/>
  <c r="N47" i="3" s="1"/>
  <c r="K9" i="3"/>
  <c r="M9" i="3" s="1"/>
  <c r="N9" i="3" s="1"/>
  <c r="H6" i="3"/>
  <c r="I6" i="3" s="1"/>
  <c r="K24" i="3"/>
  <c r="M24" i="3" s="1"/>
  <c r="N24" i="3" s="1"/>
  <c r="K21" i="3"/>
  <c r="M21" i="3" s="1"/>
  <c r="N21" i="3" s="1"/>
  <c r="H11" i="3"/>
  <c r="I11" i="3" s="1"/>
  <c r="H16" i="3"/>
  <c r="I16" i="3" s="1"/>
  <c r="H15" i="3"/>
  <c r="I15" i="3" s="1"/>
  <c r="H7" i="3"/>
  <c r="I7" i="3" s="1"/>
  <c r="H25" i="3"/>
  <c r="I25" i="3" s="1"/>
  <c r="H19" i="3"/>
  <c r="I19" i="3" s="1"/>
  <c r="H14" i="3"/>
  <c r="I14" i="3" s="1"/>
  <c r="K14" i="3"/>
  <c r="M14" i="3" s="1"/>
  <c r="N14" i="3" s="1"/>
  <c r="K8" i="3"/>
  <c r="H8" i="3"/>
  <c r="I8" i="3" s="1"/>
  <c r="K17" i="3"/>
  <c r="M17" i="3" s="1"/>
  <c r="N17" i="3" s="1"/>
  <c r="H17" i="3"/>
  <c r="I17" i="3" s="1"/>
  <c r="H22" i="3"/>
  <c r="I22" i="3" s="1"/>
  <c r="K22" i="3"/>
  <c r="M22" i="3" s="1"/>
  <c r="N22" i="3" s="1"/>
  <c r="K12" i="3"/>
  <c r="M12" i="3" s="1"/>
  <c r="N12" i="3" s="1"/>
  <c r="H12" i="3"/>
  <c r="I12" i="3" s="1"/>
  <c r="H10" i="3"/>
  <c r="I10" i="3" s="1"/>
  <c r="K10" i="3"/>
  <c r="M10" i="3" s="1"/>
  <c r="N10" i="3" s="1"/>
  <c r="H23" i="3"/>
  <c r="I23" i="3" s="1"/>
  <c r="F44" i="3"/>
  <c r="H44" i="3" s="1"/>
  <c r="H42" i="3"/>
  <c r="K42" i="3"/>
  <c r="H13" i="3"/>
  <c r="I13" i="3" s="1"/>
  <c r="K13" i="3"/>
  <c r="M13" i="3" s="1"/>
  <c r="N13" i="3" s="1"/>
  <c r="F26" i="3"/>
  <c r="N44" i="11" l="1"/>
  <c r="O44" i="11"/>
  <c r="J32" i="11"/>
  <c r="I32" i="11"/>
  <c r="I26" i="11"/>
  <c r="J26" i="11"/>
  <c r="K58" i="11"/>
  <c r="M26" i="11"/>
  <c r="K32" i="11"/>
  <c r="M32" i="11" s="1"/>
  <c r="O42" i="11"/>
  <c r="N42" i="11"/>
  <c r="F60" i="11"/>
  <c r="H58" i="11"/>
  <c r="I58" i="11" s="1"/>
  <c r="F58" i="3"/>
  <c r="O40" i="3"/>
  <c r="O48" i="3"/>
  <c r="N48" i="3"/>
  <c r="M42" i="3"/>
  <c r="K44" i="3"/>
  <c r="M44" i="3" s="1"/>
  <c r="F32" i="3"/>
  <c r="H32" i="3" s="1"/>
  <c r="H26" i="3"/>
  <c r="I42" i="3"/>
  <c r="J42" i="3"/>
  <c r="M8" i="3"/>
  <c r="N8" i="3" s="1"/>
  <c r="K26" i="3"/>
  <c r="J44" i="3"/>
  <c r="I44" i="3"/>
  <c r="J58" i="11" l="1"/>
  <c r="N26" i="11"/>
  <c r="O26" i="11"/>
  <c r="K60" i="11"/>
  <c r="M58" i="11"/>
  <c r="N32" i="11"/>
  <c r="O32" i="11"/>
  <c r="O44" i="3"/>
  <c r="N44" i="3"/>
  <c r="F60" i="3"/>
  <c r="H58" i="3"/>
  <c r="I58" i="3" s="1"/>
  <c r="I32" i="3"/>
  <c r="J32" i="3"/>
  <c r="K32" i="3"/>
  <c r="M32" i="3" s="1"/>
  <c r="M26" i="3"/>
  <c r="K58" i="3"/>
  <c r="I26" i="3"/>
  <c r="J26" i="3"/>
  <c r="O42" i="3"/>
  <c r="N42" i="3"/>
  <c r="O58" i="11" l="1"/>
  <c r="N58" i="11"/>
  <c r="O32" i="3"/>
  <c r="N32" i="3"/>
  <c r="K60" i="3"/>
  <c r="M58" i="3"/>
  <c r="N26" i="3"/>
  <c r="O26" i="3"/>
  <c r="J58" i="3"/>
  <c r="O58" i="3" l="1"/>
  <c r="N5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Scott</author>
  </authors>
  <commentList>
    <comment ref="I5" authorId="0" shapeId="0" xr:uid="{68D8EFF9-73A6-4ED5-87FE-EA5E54CCB9C5}">
      <text>
        <r>
          <rPr>
            <b/>
            <sz val="9"/>
            <color indexed="81"/>
            <rFont val="Tahoma"/>
            <family val="2"/>
          </rPr>
          <t xml:space="preserve">
Note: If Labor </t>
        </r>
        <r>
          <rPr>
            <b/>
            <sz val="9"/>
            <color indexed="60"/>
            <rFont val="Tahoma"/>
            <family val="2"/>
          </rPr>
          <t>Margin Per Hour</t>
        </r>
        <r>
          <rPr>
            <b/>
            <sz val="9"/>
            <color indexed="81"/>
            <rFont val="Tahoma"/>
            <family val="2"/>
          </rPr>
          <t xml:space="preserve"> Delta is not in sync,
check Over/Under WIP Variance (</t>
        </r>
        <r>
          <rPr>
            <b/>
            <sz val="10"/>
            <color indexed="10"/>
            <rFont val="Tahoma"/>
            <family val="2"/>
          </rPr>
          <t>Cell J3</t>
        </r>
        <r>
          <rPr>
            <b/>
            <sz val="10"/>
            <color indexed="81"/>
            <rFont val="Tahoma"/>
            <family val="2"/>
          </rPr>
          <t>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Scott</author>
  </authors>
  <commentList>
    <comment ref="I5" authorId="0" shapeId="0" xr:uid="{237535B5-C7A3-4017-8BE9-183D46185B77}">
      <text>
        <r>
          <rPr>
            <b/>
            <sz val="9"/>
            <color indexed="81"/>
            <rFont val="Tahoma"/>
            <family val="2"/>
          </rPr>
          <t xml:space="preserve">
Note: If Labor </t>
        </r>
        <r>
          <rPr>
            <b/>
            <sz val="9"/>
            <color indexed="60"/>
            <rFont val="Tahoma"/>
            <family val="2"/>
          </rPr>
          <t>Margin Per Hour</t>
        </r>
        <r>
          <rPr>
            <b/>
            <sz val="9"/>
            <color indexed="81"/>
            <rFont val="Tahoma"/>
            <family val="2"/>
          </rPr>
          <t xml:space="preserve"> Delta is not in sync,
check Over/Under WIP Variance (</t>
        </r>
        <r>
          <rPr>
            <b/>
            <sz val="10"/>
            <color indexed="10"/>
            <rFont val="Tahoma"/>
            <family val="2"/>
          </rPr>
          <t>Cell J3</t>
        </r>
        <r>
          <rPr>
            <b/>
            <sz val="10"/>
            <color indexed="81"/>
            <rFont val="Tahoma"/>
            <family val="2"/>
          </rPr>
          <t>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<sst xmlns="http://schemas.openxmlformats.org/spreadsheetml/2006/main" count="264" uniqueCount="98">
  <si>
    <t>Actual Base Wage Rate</t>
  </si>
  <si>
    <t>YTD Labor Hours</t>
  </si>
  <si>
    <t>Bill Rate</t>
  </si>
  <si>
    <t xml:space="preserve">Category </t>
  </si>
  <si>
    <t xml:space="preserve">Sub Category </t>
  </si>
  <si>
    <t>ST Hrs</t>
  </si>
  <si>
    <t>OT Hrs</t>
  </si>
  <si>
    <t xml:space="preserve">Hours </t>
  </si>
  <si>
    <t>Revenue</t>
  </si>
  <si>
    <t>Expense</t>
  </si>
  <si>
    <t>Margin</t>
  </si>
  <si>
    <t>Margin Per Hour</t>
  </si>
  <si>
    <t>Total Margin</t>
  </si>
  <si>
    <t>YTD Revenue</t>
  </si>
  <si>
    <t>YTD Expense</t>
  </si>
  <si>
    <t>YTD Margin</t>
  </si>
  <si>
    <t>YTD PD Per HR</t>
  </si>
  <si>
    <t>Notes</t>
  </si>
  <si>
    <t>Labor</t>
  </si>
  <si>
    <t xml:space="preserve"> </t>
  </si>
  <si>
    <t>Materials</t>
  </si>
  <si>
    <t>Other</t>
  </si>
  <si>
    <t>Overhead</t>
  </si>
  <si>
    <t>Profit</t>
  </si>
  <si>
    <t>Labor Subtotal</t>
  </si>
  <si>
    <t>Subcontract</t>
  </si>
  <si>
    <t>Subcontract total</t>
  </si>
  <si>
    <t>Labor Total</t>
  </si>
  <si>
    <t>Material</t>
  </si>
  <si>
    <t>Material Total</t>
  </si>
  <si>
    <t xml:space="preserve">Equipment </t>
  </si>
  <si>
    <t>Equipment - Company Owned</t>
  </si>
  <si>
    <t>Equipment - 3rd Party</t>
  </si>
  <si>
    <t>Equipment Total</t>
  </si>
  <si>
    <t>Scaffold</t>
  </si>
  <si>
    <t>Scaffold - Adder</t>
  </si>
  <si>
    <t>Scaffold - Company Owned</t>
  </si>
  <si>
    <t>Scaffold Total</t>
  </si>
  <si>
    <t>Subsistence</t>
  </si>
  <si>
    <t>Other Revenue</t>
  </si>
  <si>
    <t>Other Total</t>
  </si>
  <si>
    <t>Totals:</t>
  </si>
  <si>
    <t>ST Hours</t>
  </si>
  <si>
    <t>OT Hours</t>
  </si>
  <si>
    <t/>
  </si>
  <si>
    <t>*</t>
  </si>
  <si>
    <t>jobNo</t>
  </si>
  <si>
    <t>Total Hours</t>
  </si>
  <si>
    <t>Labor Cost</t>
  </si>
  <si>
    <t>Scaffold-ADD</t>
  </si>
  <si>
    <t>3rd Party Cost</t>
  </si>
  <si>
    <t>In House Vehicles</t>
  </si>
  <si>
    <t>Company Equipment</t>
  </si>
  <si>
    <t>Material Cost</t>
  </si>
  <si>
    <t>Subcontract Cost</t>
  </si>
  <si>
    <t>Tools</t>
  </si>
  <si>
    <t>Consumables</t>
  </si>
  <si>
    <t>Other Cost</t>
  </si>
  <si>
    <t>FICA</t>
  </si>
  <si>
    <t>FUI</t>
  </si>
  <si>
    <t>SUI</t>
  </si>
  <si>
    <t>WC</t>
  </si>
  <si>
    <t>Gen Liab</t>
  </si>
  <si>
    <t>Umbr</t>
  </si>
  <si>
    <t>Pollution</t>
  </si>
  <si>
    <t>Healt</t>
  </si>
  <si>
    <t>Fringe</t>
  </si>
  <si>
    <t>Small</t>
  </si>
  <si>
    <t>PPE</t>
  </si>
  <si>
    <t>Consumable</t>
  </si>
  <si>
    <t>FICA P</t>
  </si>
  <si>
    <t>FUI P</t>
  </si>
  <si>
    <t>SUI P</t>
  </si>
  <si>
    <t>Other Revanue</t>
  </si>
  <si>
    <t>WC P</t>
  </si>
  <si>
    <t>Gen Liab P</t>
  </si>
  <si>
    <t>Umbr P</t>
  </si>
  <si>
    <t>Pollution P</t>
  </si>
  <si>
    <t>Healt P</t>
  </si>
  <si>
    <t>Fringe P</t>
  </si>
  <si>
    <t>Small P</t>
  </si>
  <si>
    <t>PPE P</t>
  </si>
  <si>
    <t>Consumable P</t>
  </si>
  <si>
    <t>Overhead P</t>
  </si>
  <si>
    <t>Profit P</t>
  </si>
  <si>
    <t>Tools Total</t>
  </si>
  <si>
    <t>Vehicles</t>
  </si>
  <si>
    <t>In Hause</t>
  </si>
  <si>
    <t>Vehicles Total</t>
  </si>
  <si>
    <t>Consumables Total</t>
  </si>
  <si>
    <t>enero - diciembre</t>
  </si>
  <si>
    <t>Code</t>
  </si>
  <si>
    <t>Material Name</t>
  </si>
  <si>
    <t>Description</t>
  </si>
  <si>
    <t>Cost</t>
  </si>
  <si>
    <t>Date</t>
  </si>
  <si>
    <t>Type Material</t>
  </si>
  <si>
    <t>enero - octubre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</si>
</sst>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mmmm\-yyyy"/>
    <numFmt numFmtId="167" formatCode="_(&quot;Actual -&quot;\ #,##0.00_);_(&quot;Actual -&quot;\ \(#,##0.00\);_(&quot;Actual -&quot;\ &quot;-&quot;_);_(@_)"/>
    <numFmt numFmtId="168" formatCode="_(&quot;Contract -&quot;\ #,##0.00_);_(&quot;Contract -&quot;\ \(#,##0.00\);_(&quot;Contract -&quot;\ &quot;-&quot;_);_(@_)"/>
    <numFmt numFmtId="169" formatCode="_(&quot;Delta-&quot;\ #,##0.00_);_(&quot;Delta-&quot;\ \(#,##0.00\);_(&quot;Delta-&quot;\ &quot;-&quot;_);_(@_)"/>
    <numFmt numFmtId="170" formatCode="&quot;$&quot;#,##0.00"/>
    <numFmt numFmtId="171" formatCode="_(* #,##0_);_(* \(#,##0\);_(* &quot;-&quot;??_);_(@_)"/>
    <numFmt numFmtId="172" formatCode="0.0%"/>
    <numFmt numFmtId="173" formatCode="0.0"/>
    <numFmt numFmtId="174" formatCode="_(* #,##0.0_);_(* \(#,##0.0\);_(* &quot;-&quot;??_);_(@_)"/>
    <numFmt numFmtId="175" formatCode="m/d/yyyy;@"/>
  </numFmts>
  <fonts count="5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8"/>
      <color theme="4" tint="-0.249977111117893"/>
      <name val="Calibri"/>
      <family val="2"/>
      <scheme val="minor"/>
    </font>
    <font>
      <b/>
      <i/>
      <sz val="18"/>
      <color rgb="FFFFFFCC"/>
      <name val="Calibri"/>
      <family val="2"/>
      <scheme val="minor"/>
    </font>
    <font>
      <b/>
      <sz val="18"/>
      <color rgb="FFFFFFCC"/>
      <name val="Calibri"/>
      <family val="2"/>
      <scheme val="minor"/>
    </font>
    <font>
      <b/>
      <sz val="10"/>
      <color rgb="FFFFFFCC"/>
      <name val="Calibri"/>
      <family val="2"/>
      <scheme val="minor"/>
    </font>
    <font>
      <b/>
      <sz val="8"/>
      <color rgb="FF3E6CC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8"/>
      <color rgb="FF0070C0"/>
      <name val="Calibri"/>
      <family val="2"/>
      <scheme val="minor"/>
    </font>
    <font>
      <b/>
      <sz val="8"/>
      <color rgb="FF4572C3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7"/>
      <color rgb="FF4572C3"/>
      <name val="Calibri"/>
      <family val="2"/>
      <scheme val="minor"/>
    </font>
    <font>
      <b/>
      <sz val="24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6"/>
      <color rgb="FFFFFFCC"/>
      <name val="Calibri"/>
      <family val="2"/>
      <scheme val="minor"/>
    </font>
    <font>
      <b/>
      <sz val="8"/>
      <color theme="2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 tint="0.249977111117893"/>
      <name val="Calibri Light"/>
      <family val="2"/>
    </font>
    <font>
      <b/>
      <sz val="11"/>
      <color theme="1" tint="0.249977111117893"/>
      <name val="Calibri Light"/>
      <family val="2"/>
    </font>
    <font>
      <sz val="12"/>
      <color theme="1" tint="0.249977111117893"/>
      <name val="Calibri Light"/>
      <family val="2"/>
    </font>
    <font>
      <b/>
      <sz val="12"/>
      <color theme="1" tint="0.249977111117893"/>
      <name val="Calibri Light"/>
      <family val="2"/>
    </font>
    <font>
      <b/>
      <sz val="11"/>
      <color theme="2" tint="-0.499984740745262"/>
      <name val="Calibri Light"/>
      <family val="2"/>
    </font>
    <font>
      <sz val="10"/>
      <color theme="1"/>
      <name val="Calibri"/>
      <family val="2"/>
      <scheme val="minor"/>
    </font>
    <font>
      <sz val="12"/>
      <color theme="4" tint="0.79998168889431442"/>
      <name val="Calibri Light"/>
      <family val="2"/>
    </font>
    <font>
      <sz val="12"/>
      <color theme="3" tint="0.79998168889431442"/>
      <name val="Calibri Light"/>
      <family val="2"/>
    </font>
    <font>
      <sz val="12"/>
      <color theme="1"/>
      <name val="Calibri Light"/>
      <family val="2"/>
    </font>
    <font>
      <b/>
      <sz val="9"/>
      <color theme="1" tint="0.249977111117893"/>
      <name val="Calibri Light"/>
      <family val="2"/>
    </font>
    <font>
      <b/>
      <sz val="10"/>
      <color theme="1" tint="0.249977111117893"/>
      <name val="Calibri Light"/>
      <family val="2"/>
    </font>
    <font>
      <b/>
      <sz val="14"/>
      <color theme="1"/>
      <name val="Calibri Light"/>
      <family val="2"/>
      <scheme val="major"/>
    </font>
    <font>
      <sz val="12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12"/>
      <name val="Calibri Light"/>
      <family val="2"/>
    </font>
    <font>
      <b/>
      <sz val="8"/>
      <color theme="4" tint="0.39997558519241921"/>
      <name val="Calibri"/>
      <family val="2"/>
      <scheme val="minor"/>
    </font>
    <font>
      <b/>
      <sz val="17"/>
      <color rgb="FFFFFF0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8"/>
      <color rgb="FFFFFF00"/>
      <name val="Calibri"/>
      <family val="2"/>
      <scheme val="minor"/>
    </font>
    <font>
      <b/>
      <sz val="17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4" tint="-0.249977111117893"/>
      <name val="Calibri"/>
      <family val="2"/>
      <scheme val="minor"/>
    </font>
    <font>
      <b/>
      <sz val="9"/>
      <color rgb="FF4572C3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indexed="60"/>
      <name val="Tahoma"/>
      <family val="2"/>
    </font>
    <font>
      <b/>
      <sz val="10"/>
      <color indexed="10"/>
      <name val="Tahoma"/>
      <family val="2"/>
    </font>
    <font>
      <b/>
      <sz val="10"/>
      <color indexed="81"/>
      <name val="Tahoma"/>
      <family val="2"/>
    </font>
    <font>
      <sz val="9"/>
      <color indexed="81"/>
      <name val="Tahoma"/>
      <family val="2"/>
    </font>
    <font>
      <b/>
      <sz val="10"/>
      <color rgb="FFFFFF0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 Light"/>
      <family val="2"/>
      <scheme val="major"/>
    </font>
    <font>
      <sz val="12"/>
      <color theme="1"/>
      <name val="Calibri"/>
      <family val="2"/>
      <scheme val="minor"/>
    </font>
    <font>
      <b/>
      <sz val="11"/>
      <color theme="1"/>
      <name val="Calibri Light"/>
      <family val="2"/>
      <scheme val="major"/>
    </font>
  </fonts>
  <fills count="2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4472C4"/>
        <bgColor theme="4"/>
      </patternFill>
    </fill>
    <fill>
      <gradientFill degree="270">
        <stop position="0">
          <color theme="4" tint="-0.25098422193060094"/>
        </stop>
        <stop position="1">
          <color theme="4"/>
        </stop>
      </gradientFill>
    </fill>
    <fill>
      <gradientFill degree="270">
        <stop position="0">
          <color theme="4" tint="0.40000610370189521"/>
        </stop>
        <stop position="1">
          <color theme="4" tint="-0.25098422193060094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rgb="FFCBD6ED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7EFC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9CCFF"/>
        <bgColor indexed="64"/>
      </patternFill>
    </fill>
  </fills>
  <borders count="19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/>
      <diagonal/>
    </border>
    <border>
      <left style="thin">
        <color theme="0" tint="-0.24994659260841701"/>
      </left>
      <right/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medium">
        <color indexed="64"/>
      </top>
      <bottom style="thin">
        <color theme="0" tint="-0.24994659260841701"/>
      </bottom>
      <diagonal/>
    </border>
    <border>
      <left/>
      <right style="medium">
        <color indexed="64"/>
      </right>
      <top style="medium">
        <color indexed="64"/>
      </top>
      <bottom style="thin">
        <color rgb="FFE5F5FF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E5F5FF"/>
      </top>
      <bottom style="thin">
        <color rgb="FFE5F5FF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double">
        <color indexed="64"/>
      </top>
      <bottom style="medium">
        <color indexed="64"/>
      </bottom>
      <diagonal/>
    </border>
    <border>
      <left style="thin">
        <color theme="0" tint="-0.34998626667073579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34998626667073579"/>
      </left>
      <right style="thin">
        <color theme="0" tint="-0.24994659260841701"/>
      </right>
      <top/>
      <bottom/>
      <diagonal/>
    </border>
    <border>
      <left style="thin">
        <color theme="2" tint="-9.9948118533890809E-2"/>
      </left>
      <right style="thin">
        <color theme="2" tint="-9.9948118533890809E-2"/>
      </right>
      <top style="medium">
        <color indexed="64"/>
      </top>
      <bottom/>
      <diagonal/>
    </border>
    <border>
      <left/>
      <right style="thin">
        <color theme="0" tint="-0.34998626667073579"/>
      </right>
      <top style="medium">
        <color indexed="64"/>
      </top>
      <bottom/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indexed="64"/>
      </right>
      <top style="medium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 style="thin">
        <color theme="0" tint="-0.24994659260841701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double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medium">
        <color indexed="64"/>
      </left>
      <right style="thin">
        <color theme="0" tint="-0.24994659260841701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medium">
        <color indexed="64"/>
      </bottom>
      <diagonal/>
    </border>
    <border>
      <left style="thin">
        <color theme="0" tint="-0.24994659260841701"/>
      </left>
      <right/>
      <top/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3" tint="0.7999816888943144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3" tint="0.79998168889431442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medium">
        <color indexed="64"/>
      </left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3" tint="0.79998168889431442"/>
      </bottom>
      <diagonal/>
    </border>
    <border>
      <left style="thin">
        <color theme="0" tint="-0.24994659260841701"/>
      </left>
      <right style="medium">
        <color indexed="64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thin">
        <color rgb="FFE5F5FF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E5F5FF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medium">
        <color theme="1"/>
      </bottom>
      <diagonal/>
    </border>
    <border>
      <left style="thin">
        <color theme="0" tint="-0.24994659260841701"/>
      </left>
      <right style="medium">
        <color indexed="64"/>
      </right>
      <top style="double">
        <color indexed="64"/>
      </top>
      <bottom style="medium">
        <color theme="1"/>
      </bottom>
      <diagonal/>
    </border>
    <border>
      <left/>
      <right/>
      <top style="double">
        <color theme="1"/>
      </top>
      <bottom style="medium">
        <color indexed="64"/>
      </bottom>
      <diagonal/>
    </border>
    <border>
      <left/>
      <right style="thin">
        <color theme="1"/>
      </right>
      <top style="medium">
        <color indexed="64"/>
      </top>
      <bottom/>
      <diagonal/>
    </border>
    <border>
      <left/>
      <right style="thin">
        <color theme="1"/>
      </right>
      <top/>
      <bottom style="double">
        <color theme="1"/>
      </bottom>
      <diagonal/>
    </border>
    <border>
      <left/>
      <right style="thin">
        <color theme="2" tint="-0.249977111117893"/>
      </right>
      <top style="medium">
        <color indexed="64"/>
      </top>
      <bottom/>
      <diagonal/>
    </border>
    <border>
      <left/>
      <right style="thin">
        <color theme="2" tint="-0.249977111117893"/>
      </right>
      <top/>
      <bottom style="double">
        <color theme="1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theme="1"/>
      </top>
      <bottom/>
      <diagonal/>
    </border>
    <border>
      <left style="thin">
        <color theme="2" tint="-0.249977111117893"/>
      </left>
      <right style="thin">
        <color theme="2" tint="-0.249977111117893"/>
      </right>
      <top/>
      <bottom style="double">
        <color theme="1"/>
      </bottom>
      <diagonal/>
    </border>
    <border>
      <left/>
      <right style="thin">
        <color theme="2" tint="-0.249977111117893"/>
      </right>
      <top style="double">
        <color theme="1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double">
        <color theme="1"/>
      </top>
      <bottom/>
      <diagonal/>
    </border>
    <border>
      <left style="thin">
        <color theme="2" tint="-0.249977111117893"/>
      </left>
      <right style="medium">
        <color indexed="64"/>
      </right>
      <top style="double">
        <color theme="1"/>
      </top>
      <bottom style="medium">
        <color theme="1"/>
      </bottom>
      <diagonal/>
    </border>
    <border>
      <left style="thin">
        <color theme="2" tint="-0.249977111117893"/>
      </left>
      <right/>
      <top style="double">
        <color theme="1"/>
      </top>
      <bottom style="medium">
        <color theme="1"/>
      </bottom>
      <diagonal/>
    </border>
    <border>
      <left style="thin">
        <color theme="2" tint="-0.249977111117893"/>
      </left>
      <right style="thin">
        <color theme="2" tint="-0.249977111117893"/>
      </right>
      <top style="double">
        <color theme="1"/>
      </top>
      <bottom style="medium">
        <color theme="1"/>
      </bottom>
      <diagonal/>
    </border>
    <border>
      <left/>
      <right/>
      <top style="double">
        <color theme="1"/>
      </top>
      <bottom style="medium">
        <color theme="1"/>
      </bottom>
      <diagonal/>
    </border>
    <border>
      <left style="thin">
        <color theme="2" tint="-0.249977111117893"/>
      </left>
      <right style="medium">
        <color indexed="64"/>
      </right>
      <top style="medium">
        <color theme="1"/>
      </top>
      <bottom/>
      <diagonal/>
    </border>
    <border>
      <left style="thin">
        <color theme="2" tint="-0.249977111117893"/>
      </left>
      <right style="medium">
        <color indexed="64"/>
      </right>
      <top/>
      <bottom style="double">
        <color theme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double">
        <color theme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2" tint="-0.249977111117893"/>
      </left>
      <right style="medium">
        <color indexed="64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/>
      <top/>
      <bottom style="double">
        <color theme="1"/>
      </bottom>
      <diagonal/>
    </border>
    <border>
      <left style="thin">
        <color indexed="64"/>
      </left>
      <right style="thin">
        <color theme="0" tint="-0.24994659260841701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thick">
        <color theme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ck">
        <color theme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ck">
        <color theme="1"/>
      </top>
      <bottom/>
      <diagonal/>
    </border>
    <border>
      <left style="thin">
        <color theme="0" tint="-0.24994659260841701"/>
      </left>
      <right style="medium">
        <color indexed="64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double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ck">
        <color theme="1"/>
      </top>
      <bottom/>
      <diagonal/>
    </border>
    <border>
      <left style="medium">
        <color indexed="64"/>
      </left>
      <right/>
      <top style="medium">
        <color theme="1"/>
      </top>
      <bottom/>
      <diagonal/>
    </border>
    <border>
      <left style="medium">
        <color indexed="64"/>
      </left>
      <right/>
      <top style="double">
        <color theme="1"/>
      </top>
      <bottom style="medium">
        <color theme="1"/>
      </bottom>
      <diagonal/>
    </border>
    <border>
      <left/>
      <right style="medium">
        <color indexed="64"/>
      </right>
      <top style="double">
        <color theme="1"/>
      </top>
      <bottom style="medium">
        <color indexed="64"/>
      </bottom>
      <diagonal/>
    </border>
    <border>
      <left style="medium">
        <color indexed="64"/>
      </left>
      <right/>
      <top style="double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double">
        <color theme="1"/>
      </top>
      <bottom style="medium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medium">
        <color indexed="64"/>
      </right>
      <top style="double">
        <color theme="1"/>
      </top>
      <bottom style="medium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 style="medium">
        <color theme="1"/>
      </left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double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indexed="64"/>
      </top>
      <bottom style="double">
        <color theme="1"/>
      </bottom>
      <diagonal/>
    </border>
    <border>
      <left style="medium">
        <color indexed="64"/>
      </left>
      <right style="medium">
        <color theme="1"/>
      </right>
      <top style="double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indexed="64"/>
      </top>
      <bottom/>
      <diagonal/>
    </border>
    <border>
      <left style="double">
        <color theme="1"/>
      </left>
      <right/>
      <top style="double">
        <color theme="1"/>
      </top>
      <bottom/>
      <diagonal/>
    </border>
    <border>
      <left/>
      <right/>
      <top style="double">
        <color theme="1"/>
      </top>
      <bottom/>
      <diagonal/>
    </border>
    <border>
      <left/>
      <right style="double">
        <color theme="1"/>
      </right>
      <top style="double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double">
        <color theme="1"/>
      </top>
      <bottom style="medium">
        <color indexed="64"/>
      </bottom>
      <diagonal/>
    </border>
    <border>
      <left style="medium">
        <color theme="1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/>
      <diagonal/>
    </border>
    <border>
      <left style="medium">
        <color theme="1"/>
      </left>
      <right style="thin">
        <color theme="2" tint="-0.249977111117893"/>
      </right>
      <top style="double">
        <color theme="1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/>
      <top style="double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2" tint="-0.249977111117893"/>
      </right>
      <top style="double">
        <color theme="1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double">
        <color theme="1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double">
        <color theme="1"/>
      </bottom>
      <diagonal/>
    </border>
    <border>
      <left style="thin">
        <color theme="2" tint="-0.249977111117893"/>
      </left>
      <right/>
      <top/>
      <bottom style="medium">
        <color theme="1"/>
      </bottom>
      <diagonal/>
    </border>
    <border>
      <left style="thin">
        <color theme="2" tint="-0.249977111117893"/>
      </left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indexed="64"/>
      </top>
      <bottom/>
      <diagonal/>
    </border>
    <border>
      <left style="thin">
        <color theme="1"/>
      </left>
      <right/>
      <top/>
      <bottom style="double">
        <color theme="1"/>
      </bottom>
      <diagonal/>
    </border>
    <border>
      <left style="medium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medium">
        <color indexed="64"/>
      </left>
      <right style="thin">
        <color theme="0" tint="-0.24994659260841701"/>
      </right>
      <top/>
      <bottom style="double">
        <color indexed="64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82">
    <xf numFmtId="0" fontId="0" fillId="0" borderId="0" xfId="0"/>
    <xf numFmtId="0" fontId="7" fillId="2" borderId="3" xfId="0" applyFont="1" applyFill="1" applyBorder="1" applyAlignment="1" applyProtection="1">
      <alignment horizontal="center" vertical="center"/>
      <protection locked="0"/>
    </xf>
    <xf numFmtId="0" fontId="9" fillId="2" borderId="3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  <protection locked="0"/>
    </xf>
    <xf numFmtId="0" fontId="10" fillId="2" borderId="3" xfId="0" applyFont="1" applyFill="1" applyBorder="1" applyAlignment="1" applyProtection="1">
      <alignment horizontal="center" vertical="center"/>
      <protection locked="0"/>
    </xf>
    <xf numFmtId="0" fontId="16" fillId="5" borderId="8" xfId="0" applyFont="1" applyFill="1" applyBorder="1" applyAlignment="1" applyProtection="1">
      <alignment horizontal="center" vertical="center" shrinkToFit="1"/>
      <protection locked="0"/>
    </xf>
    <xf numFmtId="169" fontId="2" fillId="2" borderId="19" xfId="0" applyNumberFormat="1" applyFont="1" applyFill="1" applyBorder="1" applyAlignment="1" applyProtection="1">
      <alignment horizontal="center" vertical="center"/>
      <protection locked="0"/>
    </xf>
    <xf numFmtId="166" fontId="19" fillId="2" borderId="20" xfId="0" applyNumberFormat="1" applyFont="1" applyFill="1" applyBorder="1" applyAlignment="1" applyProtection="1">
      <alignment horizontal="center" vertical="center"/>
      <protection locked="0"/>
    </xf>
    <xf numFmtId="172" fontId="24" fillId="8" borderId="33" xfId="3" applyNumberFormat="1" applyFont="1" applyFill="1" applyBorder="1" applyAlignment="1" applyProtection="1">
      <alignment horizontal="left" vertical="center" wrapText="1"/>
      <protection locked="0"/>
    </xf>
    <xf numFmtId="164" fontId="22" fillId="6" borderId="36" xfId="2" applyFont="1" applyFill="1" applyBorder="1" applyAlignment="1" applyProtection="1">
      <alignment horizontal="center"/>
      <protection hidden="1"/>
    </xf>
    <xf numFmtId="172" fontId="24" fillId="8" borderId="43" xfId="3" applyNumberFormat="1" applyFont="1" applyFill="1" applyBorder="1" applyAlignment="1" applyProtection="1">
      <alignment horizontal="left" vertical="center" wrapText="1"/>
      <protection locked="0"/>
    </xf>
    <xf numFmtId="172" fontId="30" fillId="8" borderId="43" xfId="3" applyNumberFormat="1" applyFont="1" applyFill="1" applyBorder="1" applyAlignment="1" applyProtection="1">
      <alignment horizontal="left" vertical="center" wrapText="1"/>
      <protection locked="0"/>
    </xf>
    <xf numFmtId="172" fontId="20" fillId="8" borderId="43" xfId="3" applyNumberFormat="1" applyFont="1" applyFill="1" applyBorder="1" applyAlignment="1" applyProtection="1">
      <alignment horizontal="left" vertical="center"/>
      <protection locked="0"/>
    </xf>
    <xf numFmtId="172" fontId="20" fillId="11" borderId="38" xfId="3" applyNumberFormat="1" applyFont="1" applyFill="1" applyBorder="1" applyAlignment="1" applyProtection="1">
      <alignment horizontal="left" wrapText="1"/>
      <protection locked="0"/>
    </xf>
    <xf numFmtId="172" fontId="20" fillId="11" borderId="47" xfId="3" applyNumberFormat="1" applyFont="1" applyFill="1" applyBorder="1" applyAlignment="1" applyProtection="1">
      <alignment horizontal="left" wrapText="1"/>
      <protection locked="0"/>
    </xf>
    <xf numFmtId="172" fontId="20" fillId="13" borderId="42" xfId="3" applyNumberFormat="1" applyFont="1" applyFill="1" applyBorder="1" applyAlignment="1" applyProtection="1">
      <alignment horizontal="left" wrapText="1"/>
      <protection locked="0"/>
    </xf>
    <xf numFmtId="172" fontId="29" fillId="8" borderId="43" xfId="3" applyNumberFormat="1" applyFont="1" applyFill="1" applyBorder="1" applyAlignment="1" applyProtection="1">
      <alignment horizontal="left" vertical="center" wrapText="1"/>
      <protection locked="0"/>
    </xf>
    <xf numFmtId="172" fontId="20" fillId="8" borderId="46" xfId="3" applyNumberFormat="1" applyFont="1" applyFill="1" applyBorder="1" applyAlignment="1" applyProtection="1">
      <alignment horizontal="center"/>
      <protection locked="0"/>
    </xf>
    <xf numFmtId="172" fontId="20" fillId="8" borderId="89" xfId="3" applyNumberFormat="1" applyFont="1" applyFill="1" applyBorder="1" applyAlignment="1" applyProtection="1">
      <alignment horizontal="center"/>
      <protection locked="0"/>
    </xf>
    <xf numFmtId="172" fontId="21" fillId="8" borderId="43" xfId="3" applyNumberFormat="1" applyFont="1" applyFill="1" applyBorder="1" applyAlignment="1" applyProtection="1">
      <alignment horizontal="left" vertical="center"/>
      <protection locked="0"/>
    </xf>
    <xf numFmtId="172" fontId="30" fillId="8" borderId="121" xfId="3" applyNumberFormat="1" applyFont="1" applyFill="1" applyBorder="1" applyAlignment="1" applyProtection="1">
      <alignment horizontal="left" vertical="center" wrapText="1"/>
      <protection locked="0"/>
    </xf>
    <xf numFmtId="170" fontId="0" fillId="0" borderId="0" xfId="0" applyNumberFormat="1"/>
    <xf numFmtId="0" fontId="5" fillId="5" borderId="8" xfId="0" applyFont="1" applyFill="1" applyBorder="1" applyAlignment="1" applyProtection="1">
      <alignment horizontal="center" vertical="center"/>
      <protection locked="0"/>
    </xf>
    <xf numFmtId="10" fontId="0" fillId="0" borderId="0" xfId="3" applyNumberFormat="1" applyFont="1"/>
    <xf numFmtId="170" fontId="0" fillId="0" borderId="0" xfId="3" applyNumberFormat="1" applyFont="1"/>
    <xf numFmtId="0" fontId="3" fillId="2" borderId="1" xfId="0" applyFont="1" applyFill="1" applyBorder="1" applyAlignment="1" applyProtection="1">
      <alignment horizontal="left" vertical="center" textRotation="90" wrapText="1"/>
      <protection locked="0"/>
    </xf>
    <xf numFmtId="0" fontId="5" fillId="3" borderId="2" xfId="0" applyFont="1" applyFill="1" applyBorder="1" applyAlignment="1" applyProtection="1">
      <alignment horizontal="center" vertical="center"/>
      <protection locked="0"/>
    </xf>
    <xf numFmtId="0" fontId="6" fillId="2" borderId="2" xfId="0" applyFont="1" applyFill="1" applyBorder="1" applyAlignment="1" applyProtection="1">
      <alignment horizontal="center" vertical="center" wrapText="1"/>
      <protection locked="0"/>
    </xf>
    <xf numFmtId="0" fontId="11" fillId="2" borderId="5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2" fillId="2" borderId="6" xfId="0" applyFont="1" applyFill="1" applyBorder="1" applyAlignment="1" applyProtection="1">
      <alignment horizontal="center" wrapText="1"/>
      <protection locked="0"/>
    </xf>
    <xf numFmtId="164" fontId="15" fillId="4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1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9" fillId="2" borderId="1" xfId="0" applyFont="1" applyFill="1" applyBorder="1" applyAlignment="1" applyProtection="1">
      <alignment horizontal="center" vertical="center"/>
      <protection locked="0"/>
    </xf>
    <xf numFmtId="0" fontId="9" fillId="2" borderId="2" xfId="0" applyFont="1" applyFill="1" applyBorder="1" applyAlignment="1" applyProtection="1">
      <alignment horizontal="center" vertical="center"/>
      <protection locked="0"/>
    </xf>
    <xf numFmtId="167" fontId="2" fillId="2" borderId="13" xfId="0" quotePrefix="1" applyNumberFormat="1" applyFont="1" applyFill="1" applyBorder="1" applyAlignment="1" applyProtection="1">
      <alignment horizontal="center" vertical="center"/>
      <protection locked="0"/>
    </xf>
    <xf numFmtId="168" fontId="2" fillId="2" borderId="14" xfId="0" quotePrefix="1" applyNumberFormat="1" applyFont="1" applyFill="1" applyBorder="1" applyAlignment="1" applyProtection="1">
      <alignment horizontal="center" vertical="center"/>
      <protection locked="0"/>
    </xf>
    <xf numFmtId="169" fontId="2" fillId="3" borderId="15" xfId="0" applyNumberFormat="1" applyFont="1" applyFill="1" applyBorder="1" applyAlignment="1" applyProtection="1">
      <alignment horizontal="center" vertical="center"/>
      <protection locked="0"/>
    </xf>
    <xf numFmtId="170" fontId="15" fillId="3" borderId="13" xfId="2" applyNumberFormat="1" applyFont="1" applyFill="1" applyBorder="1" applyAlignment="1" applyProtection="1">
      <alignment horizontal="center" vertical="center"/>
      <protection locked="0"/>
    </xf>
    <xf numFmtId="165" fontId="17" fillId="2" borderId="14" xfId="1" applyFont="1" applyFill="1" applyBorder="1" applyAlignment="1" applyProtection="1">
      <alignment horizontal="center" vertical="center"/>
      <protection locked="0"/>
    </xf>
    <xf numFmtId="165" fontId="18" fillId="2" borderId="16" xfId="1" applyFont="1" applyFill="1" applyBorder="1" applyAlignment="1" applyProtection="1">
      <alignment horizontal="center" vertical="center"/>
      <protection locked="0"/>
    </xf>
    <xf numFmtId="167" fontId="2" fillId="2" borderId="17" xfId="0" quotePrefix="1" applyNumberFormat="1" applyFont="1" applyFill="1" applyBorder="1" applyAlignment="1" applyProtection="1">
      <alignment horizontal="center" vertical="center"/>
      <protection locked="0"/>
    </xf>
    <xf numFmtId="168" fontId="2" fillId="2" borderId="18" xfId="0" quotePrefix="1" applyNumberFormat="1" applyFont="1" applyFill="1" applyBorder="1" applyAlignment="1" applyProtection="1">
      <alignment horizontal="center" vertical="center"/>
      <protection locked="0"/>
    </xf>
    <xf numFmtId="0" fontId="19" fillId="2" borderId="13" xfId="0" applyFont="1" applyFill="1" applyBorder="1" applyAlignment="1" applyProtection="1">
      <alignment horizontal="center" vertical="center"/>
      <protection locked="0"/>
    </xf>
    <xf numFmtId="0" fontId="19" fillId="2" borderId="14" xfId="0" applyFont="1" applyFill="1" applyBorder="1" applyAlignment="1" applyProtection="1">
      <alignment horizontal="center" vertical="center"/>
      <protection locked="0"/>
    </xf>
    <xf numFmtId="2" fontId="19" fillId="2" borderId="14" xfId="0" applyNumberFormat="1" applyFont="1" applyFill="1" applyBorder="1" applyAlignment="1" applyProtection="1">
      <alignment horizontal="center" vertical="center"/>
      <protection locked="0"/>
    </xf>
    <xf numFmtId="0" fontId="19" fillId="2" borderId="14" xfId="0" applyFont="1" applyFill="1" applyBorder="1" applyAlignment="1" applyProtection="1">
      <alignment horizontal="center" vertical="center" wrapText="1"/>
      <protection locked="0"/>
    </xf>
    <xf numFmtId="0" fontId="19" fillId="2" borderId="16" xfId="0" applyFont="1" applyFill="1" applyBorder="1" applyAlignment="1" applyProtection="1">
      <alignment horizontal="center" vertical="center"/>
      <protection locked="0"/>
    </xf>
    <xf numFmtId="0" fontId="19" fillId="2" borderId="6" xfId="0" applyFont="1" applyFill="1" applyBorder="1" applyAlignment="1" applyProtection="1">
      <alignment horizontal="center" vertical="center"/>
      <protection locked="0"/>
    </xf>
    <xf numFmtId="0" fontId="19" fillId="2" borderId="21" xfId="0" applyFont="1" applyFill="1" applyBorder="1" applyAlignment="1" applyProtection="1">
      <alignment horizontal="center" vertical="center"/>
      <protection locked="0"/>
    </xf>
    <xf numFmtId="0" fontId="19" fillId="2" borderId="22" xfId="0" applyFont="1" applyFill="1" applyBorder="1" applyAlignment="1" applyProtection="1">
      <alignment horizontal="center" vertical="center"/>
      <protection locked="0"/>
    </xf>
    <xf numFmtId="0" fontId="19" fillId="2" borderId="23" xfId="0" applyFont="1" applyFill="1" applyBorder="1" applyAlignment="1" applyProtection="1">
      <alignment horizontal="center" vertical="center"/>
      <protection locked="0"/>
    </xf>
    <xf numFmtId="0" fontId="21" fillId="6" borderId="25" xfId="0" applyFont="1" applyFill="1" applyBorder="1" applyAlignment="1" applyProtection="1">
      <alignment horizontal="center"/>
      <protection locked="0"/>
    </xf>
    <xf numFmtId="164" fontId="23" fillId="0" borderId="26" xfId="2" applyFont="1" applyBorder="1" applyAlignment="1" applyProtection="1">
      <alignment horizontal="center"/>
      <protection locked="0"/>
    </xf>
    <xf numFmtId="164" fontId="23" fillId="0" borderId="28" xfId="2" applyFont="1" applyBorder="1" applyAlignment="1" applyProtection="1">
      <alignment horizontal="center"/>
      <protection locked="0"/>
    </xf>
    <xf numFmtId="164" fontId="22" fillId="6" borderId="29" xfId="2" applyFont="1" applyFill="1" applyBorder="1" applyAlignment="1" applyProtection="1">
      <alignment horizontal="center"/>
      <protection locked="0"/>
    </xf>
    <xf numFmtId="164" fontId="22" fillId="7" borderId="30" xfId="3" applyNumberFormat="1" applyFont="1" applyFill="1" applyBorder="1" applyAlignment="1" applyProtection="1">
      <alignment horizontal="center"/>
      <protection locked="0"/>
    </xf>
    <xf numFmtId="164" fontId="22" fillId="6" borderId="28" xfId="2" applyFont="1" applyFill="1" applyBorder="1" applyAlignment="1" applyProtection="1">
      <alignment horizontal="center"/>
      <protection locked="0"/>
    </xf>
    <xf numFmtId="164" fontId="23" fillId="0" borderId="31" xfId="2" applyFont="1" applyBorder="1" applyAlignment="1" applyProtection="1">
      <alignment horizontal="center"/>
      <protection locked="0"/>
    </xf>
    <xf numFmtId="164" fontId="23" fillId="0" borderId="32" xfId="2" applyFont="1" applyBorder="1" applyAlignment="1" applyProtection="1">
      <alignment horizontal="center"/>
      <protection locked="0"/>
    </xf>
    <xf numFmtId="164" fontId="22" fillId="6" borderId="23" xfId="2" applyFont="1" applyFill="1" applyBorder="1" applyAlignment="1" applyProtection="1">
      <alignment horizontal="center"/>
      <protection locked="0"/>
    </xf>
    <xf numFmtId="0" fontId="25" fillId="0" borderId="0" xfId="0" applyFont="1" applyProtection="1">
      <protection locked="0"/>
    </xf>
    <xf numFmtId="0" fontId="21" fillId="6" borderId="35" xfId="0" applyFont="1" applyFill="1" applyBorder="1" applyAlignment="1" applyProtection="1">
      <alignment horizontal="center"/>
      <protection locked="0"/>
    </xf>
    <xf numFmtId="171" fontId="21" fillId="6" borderId="36" xfId="1" applyNumberFormat="1" applyFont="1" applyFill="1" applyBorder="1" applyAlignment="1" applyProtection="1">
      <alignment horizontal="center" vertical="center"/>
      <protection locked="0"/>
    </xf>
    <xf numFmtId="164" fontId="22" fillId="6" borderId="36" xfId="2" applyFont="1" applyFill="1" applyBorder="1" applyAlignment="1" applyProtection="1">
      <alignment horizontal="center"/>
      <protection locked="0"/>
    </xf>
    <xf numFmtId="164" fontId="23" fillId="0" borderId="36" xfId="2" applyFont="1" applyBorder="1" applyAlignment="1" applyProtection="1">
      <alignment horizontal="center"/>
      <protection locked="0"/>
    </xf>
    <xf numFmtId="164" fontId="23" fillId="0" borderId="37" xfId="2" applyFont="1" applyBorder="1" applyAlignment="1" applyProtection="1">
      <alignment horizontal="center"/>
      <protection locked="0"/>
    </xf>
    <xf numFmtId="164" fontId="26" fillId="6" borderId="38" xfId="2" applyFont="1" applyFill="1" applyBorder="1" applyAlignment="1" applyProtection="1">
      <alignment horizontal="center"/>
      <protection locked="0"/>
    </xf>
    <xf numFmtId="164" fontId="22" fillId="7" borderId="39" xfId="2" applyFont="1" applyFill="1" applyBorder="1" applyAlignment="1" applyProtection="1">
      <alignment horizontal="center"/>
      <protection locked="0"/>
    </xf>
    <xf numFmtId="164" fontId="22" fillId="6" borderId="37" xfId="2" applyFont="1" applyFill="1" applyBorder="1" applyAlignment="1" applyProtection="1">
      <alignment horizontal="center"/>
      <protection locked="0"/>
    </xf>
    <xf numFmtId="164" fontId="23" fillId="0" borderId="40" xfId="2" applyFont="1" applyBorder="1" applyAlignment="1" applyProtection="1">
      <alignment horizontal="center"/>
      <protection locked="0"/>
    </xf>
    <xf numFmtId="164" fontId="23" fillId="0" borderId="41" xfId="2" applyFont="1" applyBorder="1" applyAlignment="1" applyProtection="1">
      <alignment horizontal="center"/>
      <protection locked="0"/>
    </xf>
    <xf numFmtId="164" fontId="22" fillId="6" borderId="42" xfId="2" applyFont="1" applyFill="1" applyBorder="1" applyAlignment="1" applyProtection="1">
      <alignment horizontal="center"/>
      <protection locked="0"/>
    </xf>
    <xf numFmtId="164" fontId="27" fillId="6" borderId="44" xfId="2" applyFont="1" applyFill="1" applyBorder="1" applyAlignment="1" applyProtection="1">
      <alignment horizontal="center"/>
      <protection locked="0"/>
    </xf>
    <xf numFmtId="164" fontId="22" fillId="6" borderId="38" xfId="2" applyFont="1" applyFill="1" applyBorder="1" applyAlignment="1" applyProtection="1">
      <alignment horizontal="center"/>
      <protection locked="0"/>
    </xf>
    <xf numFmtId="165" fontId="22" fillId="6" borderId="36" xfId="1" applyFont="1" applyFill="1" applyBorder="1" applyAlignment="1" applyProtection="1">
      <alignment horizontal="center"/>
      <protection locked="0"/>
    </xf>
    <xf numFmtId="0" fontId="21" fillId="6" borderId="35" xfId="0" applyFont="1" applyFill="1" applyBorder="1" applyAlignment="1" applyProtection="1">
      <alignment horizontal="center" wrapText="1"/>
      <protection locked="0"/>
    </xf>
    <xf numFmtId="165" fontId="28" fillId="6" borderId="36" xfId="1" applyFont="1" applyFill="1" applyBorder="1" applyAlignment="1" applyProtection="1">
      <alignment horizontal="center"/>
      <protection locked="0"/>
    </xf>
    <xf numFmtId="164" fontId="23" fillId="9" borderId="37" xfId="2" applyFont="1" applyFill="1" applyBorder="1" applyAlignment="1" applyProtection="1">
      <alignment horizontal="center"/>
      <protection locked="0"/>
    </xf>
    <xf numFmtId="0" fontId="21" fillId="6" borderId="45" xfId="0" applyFont="1" applyFill="1" applyBorder="1" applyAlignment="1" applyProtection="1">
      <alignment horizontal="center"/>
      <protection locked="0"/>
    </xf>
    <xf numFmtId="164" fontId="22" fillId="6" borderId="46" xfId="2" applyFont="1" applyFill="1" applyBorder="1" applyAlignment="1" applyProtection="1">
      <alignment horizontal="center"/>
      <protection locked="0"/>
    </xf>
    <xf numFmtId="164" fontId="22" fillId="6" borderId="47" xfId="2" applyFont="1" applyFill="1" applyBorder="1" applyAlignment="1" applyProtection="1">
      <alignment horizontal="center"/>
      <protection locked="0"/>
    </xf>
    <xf numFmtId="164" fontId="23" fillId="6" borderId="50" xfId="2" applyFont="1" applyFill="1" applyBorder="1" applyAlignment="1" applyProtection="1">
      <alignment horizontal="center"/>
      <protection locked="0"/>
    </xf>
    <xf numFmtId="164" fontId="23" fillId="6" borderId="51" xfId="2" applyFont="1" applyFill="1" applyBorder="1" applyAlignment="1" applyProtection="1">
      <alignment horizontal="center"/>
      <protection locked="0"/>
    </xf>
    <xf numFmtId="165" fontId="20" fillId="6" borderId="52" xfId="1" applyFont="1" applyFill="1" applyBorder="1" applyAlignment="1" applyProtection="1">
      <alignment horizontal="center"/>
      <protection locked="0"/>
    </xf>
    <xf numFmtId="164" fontId="31" fillId="6" borderId="52" xfId="0" applyNumberFormat="1" applyFont="1" applyFill="1" applyBorder="1" applyProtection="1">
      <protection locked="0"/>
    </xf>
    <xf numFmtId="164" fontId="20" fillId="0" borderId="52" xfId="2" applyFont="1" applyBorder="1" applyAlignment="1" applyProtection="1">
      <alignment horizontal="center" shrinkToFit="1"/>
      <protection locked="0"/>
    </xf>
    <xf numFmtId="164" fontId="20" fillId="0" borderId="53" xfId="2" applyFont="1" applyBorder="1" applyAlignment="1" applyProtection="1">
      <alignment horizontal="center"/>
      <protection locked="0"/>
    </xf>
    <xf numFmtId="172" fontId="20" fillId="6" borderId="6" xfId="3" applyNumberFormat="1" applyFont="1" applyFill="1" applyBorder="1" applyAlignment="1" applyProtection="1">
      <alignment horizontal="center"/>
      <protection locked="0"/>
    </xf>
    <xf numFmtId="164" fontId="31" fillId="6" borderId="49" xfId="0" applyNumberFormat="1" applyFont="1" applyFill="1" applyBorder="1" applyProtection="1">
      <protection locked="0"/>
    </xf>
    <xf numFmtId="164" fontId="31" fillId="6" borderId="53" xfId="0" applyNumberFormat="1" applyFont="1" applyFill="1" applyBorder="1" applyProtection="1">
      <protection locked="0"/>
    </xf>
    <xf numFmtId="164" fontId="20" fillId="0" borderId="54" xfId="2" applyFont="1" applyBorder="1" applyAlignment="1" applyProtection="1">
      <alignment horizontal="center" shrinkToFit="1"/>
      <protection locked="0"/>
    </xf>
    <xf numFmtId="172" fontId="20" fillId="0" borderId="55" xfId="3" applyNumberFormat="1" applyFont="1" applyBorder="1" applyAlignment="1" applyProtection="1">
      <alignment horizontal="center"/>
      <protection locked="0"/>
    </xf>
    <xf numFmtId="172" fontId="20" fillId="6" borderId="15" xfId="3" applyNumberFormat="1" applyFont="1" applyFill="1" applyBorder="1" applyAlignment="1" applyProtection="1">
      <alignment horizontal="center"/>
      <protection locked="0"/>
    </xf>
    <xf numFmtId="0" fontId="23" fillId="10" borderId="56" xfId="0" applyFont="1" applyFill="1" applyBorder="1" applyAlignment="1" applyProtection="1">
      <alignment horizontal="center" vertical="center"/>
      <protection locked="0"/>
    </xf>
    <xf numFmtId="0" fontId="23" fillId="10" borderId="21" xfId="0" applyFont="1" applyFill="1" applyBorder="1" applyAlignment="1" applyProtection="1">
      <alignment horizontal="center" vertical="center"/>
      <protection locked="0"/>
    </xf>
    <xf numFmtId="0" fontId="20" fillId="10" borderId="22" xfId="3" applyNumberFormat="1" applyFont="1" applyFill="1" applyBorder="1" applyAlignment="1" applyProtection="1">
      <alignment horizontal="center"/>
      <protection locked="0"/>
    </xf>
    <xf numFmtId="164" fontId="31" fillId="10" borderId="22" xfId="0" applyNumberFormat="1" applyFont="1" applyFill="1" applyBorder="1" applyProtection="1">
      <protection locked="0"/>
    </xf>
    <xf numFmtId="164" fontId="20" fillId="10" borderId="22" xfId="2" applyFont="1" applyFill="1" applyBorder="1" applyAlignment="1" applyProtection="1">
      <alignment horizontal="center"/>
      <protection locked="0"/>
    </xf>
    <xf numFmtId="164" fontId="20" fillId="10" borderId="57" xfId="2" applyFont="1" applyFill="1" applyBorder="1" applyAlignment="1" applyProtection="1">
      <alignment horizontal="center"/>
      <protection locked="0"/>
    </xf>
    <xf numFmtId="172" fontId="20" fillId="10" borderId="38" xfId="3" applyNumberFormat="1" applyFont="1" applyFill="1" applyBorder="1" applyAlignment="1" applyProtection="1">
      <alignment horizontal="center"/>
      <protection locked="0"/>
    </xf>
    <xf numFmtId="164" fontId="30" fillId="10" borderId="0" xfId="2" applyFont="1" applyFill="1" applyBorder="1" applyAlignment="1" applyProtection="1">
      <alignment horizontal="center"/>
      <protection locked="0"/>
    </xf>
    <xf numFmtId="164" fontId="31" fillId="10" borderId="57" xfId="0" applyNumberFormat="1" applyFont="1" applyFill="1" applyBorder="1" applyProtection="1">
      <protection locked="0"/>
    </xf>
    <xf numFmtId="164" fontId="30" fillId="10" borderId="58" xfId="2" applyFont="1" applyFill="1" applyBorder="1" applyAlignment="1" applyProtection="1">
      <alignment horizontal="center"/>
      <protection locked="0"/>
    </xf>
    <xf numFmtId="164" fontId="20" fillId="10" borderId="59" xfId="2" applyFont="1" applyFill="1" applyBorder="1" applyAlignment="1" applyProtection="1">
      <alignment horizontal="center"/>
      <protection locked="0"/>
    </xf>
    <xf numFmtId="172" fontId="20" fillId="10" borderId="42" xfId="3" applyNumberFormat="1" applyFont="1" applyFill="1" applyBorder="1" applyAlignment="1" applyProtection="1">
      <alignment horizontal="center"/>
      <protection locked="0"/>
    </xf>
    <xf numFmtId="0" fontId="21" fillId="11" borderId="22" xfId="0" applyFont="1" applyFill="1" applyBorder="1" applyAlignment="1" applyProtection="1">
      <alignment horizontal="center" vertical="center"/>
      <protection locked="0"/>
    </xf>
    <xf numFmtId="165" fontId="22" fillId="11" borderId="22" xfId="1" applyFont="1" applyFill="1" applyBorder="1" applyAlignment="1" applyProtection="1">
      <alignment horizontal="center" vertical="center"/>
      <protection locked="0"/>
    </xf>
    <xf numFmtId="164" fontId="22" fillId="11" borderId="22" xfId="2" applyFont="1" applyFill="1" applyBorder="1" applyAlignment="1" applyProtection="1">
      <alignment horizontal="center" vertical="center"/>
      <protection locked="0"/>
    </xf>
    <xf numFmtId="164" fontId="23" fillId="0" borderId="60" xfId="2" applyFont="1" applyBorder="1" applyAlignment="1" applyProtection="1">
      <alignment horizontal="center" vertical="center"/>
      <protection locked="0"/>
    </xf>
    <xf numFmtId="164" fontId="23" fillId="0" borderId="61" xfId="2" applyFont="1" applyBorder="1" applyAlignment="1" applyProtection="1">
      <alignment horizontal="center" vertical="center"/>
      <protection locked="0"/>
    </xf>
    <xf numFmtId="164" fontId="22" fillId="11" borderId="34" xfId="2" applyFont="1" applyFill="1" applyBorder="1" applyAlignment="1" applyProtection="1">
      <alignment horizontal="center" vertical="center"/>
      <protection locked="0"/>
    </xf>
    <xf numFmtId="164" fontId="22" fillId="11" borderId="57" xfId="2" applyFont="1" applyFill="1" applyBorder="1" applyAlignment="1" applyProtection="1">
      <alignment horizontal="center" vertical="center"/>
      <protection locked="0"/>
    </xf>
    <xf numFmtId="164" fontId="23" fillId="0" borderId="58" xfId="2" applyFont="1" applyBorder="1" applyAlignment="1" applyProtection="1">
      <alignment horizontal="center" vertical="center"/>
      <protection locked="0"/>
    </xf>
    <xf numFmtId="164" fontId="23" fillId="0" borderId="62" xfId="2" applyFont="1" applyBorder="1" applyAlignment="1" applyProtection="1">
      <alignment horizontal="center" vertical="center"/>
      <protection locked="0"/>
    </xf>
    <xf numFmtId="0" fontId="21" fillId="11" borderId="64" xfId="0" applyFont="1" applyFill="1" applyBorder="1" applyAlignment="1" applyProtection="1">
      <alignment horizontal="center" vertical="center"/>
      <protection locked="0"/>
    </xf>
    <xf numFmtId="0" fontId="21" fillId="11" borderId="64" xfId="0" applyFont="1" applyFill="1" applyBorder="1" applyAlignment="1" applyProtection="1">
      <alignment horizontal="center"/>
      <protection locked="0"/>
    </xf>
    <xf numFmtId="165" fontId="22" fillId="11" borderId="64" xfId="1" applyFont="1" applyFill="1" applyBorder="1" applyAlignment="1" applyProtection="1">
      <alignment horizontal="center" vertical="center"/>
      <protection locked="0"/>
    </xf>
    <xf numFmtId="164" fontId="22" fillId="11" borderId="64" xfId="2" applyFont="1" applyFill="1" applyBorder="1" applyAlignment="1" applyProtection="1">
      <alignment horizontal="center" vertical="center"/>
      <protection locked="0"/>
    </xf>
    <xf numFmtId="164" fontId="20" fillId="12" borderId="60" xfId="2" applyFont="1" applyFill="1" applyBorder="1" applyAlignment="1" applyProtection="1">
      <alignment horizontal="center"/>
      <protection locked="0"/>
    </xf>
    <xf numFmtId="164" fontId="23" fillId="0" borderId="61" xfId="2" applyFont="1" applyBorder="1" applyAlignment="1" applyProtection="1">
      <alignment horizontal="center"/>
      <protection locked="0"/>
    </xf>
    <xf numFmtId="164" fontId="22" fillId="11" borderId="63" xfId="2" applyFont="1" applyFill="1" applyBorder="1" applyAlignment="1" applyProtection="1">
      <alignment horizontal="center" vertical="center"/>
      <protection locked="0"/>
    </xf>
    <xf numFmtId="164" fontId="22" fillId="11" borderId="65" xfId="2" applyFont="1" applyFill="1" applyBorder="1" applyAlignment="1" applyProtection="1">
      <alignment horizontal="center" vertical="center"/>
      <protection locked="0"/>
    </xf>
    <xf numFmtId="164" fontId="30" fillId="0" borderId="58" xfId="2" applyFont="1" applyBorder="1" applyAlignment="1" applyProtection="1">
      <alignment horizontal="center"/>
      <protection locked="0"/>
    </xf>
    <xf numFmtId="164" fontId="23" fillId="0" borderId="59" xfId="2" applyFont="1" applyBorder="1" applyAlignment="1" applyProtection="1">
      <alignment horizontal="center"/>
      <protection locked="0"/>
    </xf>
    <xf numFmtId="165" fontId="20" fillId="11" borderId="52" xfId="3" applyNumberFormat="1" applyFont="1" applyFill="1" applyBorder="1" applyAlignment="1" applyProtection="1">
      <alignment horizontal="center"/>
      <protection locked="0"/>
    </xf>
    <xf numFmtId="164" fontId="31" fillId="11" borderId="52" xfId="0" applyNumberFormat="1" applyFont="1" applyFill="1" applyBorder="1" applyProtection="1">
      <protection locked="0"/>
    </xf>
    <xf numFmtId="164" fontId="20" fillId="0" borderId="50" xfId="2" applyFont="1" applyBorder="1" applyAlignment="1" applyProtection="1">
      <alignment horizontal="center"/>
      <protection locked="0"/>
    </xf>
    <xf numFmtId="164" fontId="20" fillId="0" borderId="66" xfId="2" applyFont="1" applyBorder="1" applyAlignment="1" applyProtection="1">
      <alignment horizontal="center"/>
      <protection locked="0"/>
    </xf>
    <xf numFmtId="172" fontId="20" fillId="11" borderId="67" xfId="3" applyNumberFormat="1" applyFont="1" applyFill="1" applyBorder="1" applyAlignment="1" applyProtection="1">
      <alignment horizontal="center"/>
      <protection locked="0"/>
    </xf>
    <xf numFmtId="164" fontId="31" fillId="11" borderId="49" xfId="0" applyNumberFormat="1" applyFont="1" applyFill="1" applyBorder="1" applyProtection="1">
      <protection locked="0"/>
    </xf>
    <xf numFmtId="164" fontId="31" fillId="11" borderId="53" xfId="0" applyNumberFormat="1" applyFont="1" applyFill="1" applyBorder="1" applyProtection="1">
      <protection locked="0"/>
    </xf>
    <xf numFmtId="164" fontId="20" fillId="0" borderId="54" xfId="2" applyFont="1" applyBorder="1" applyAlignment="1" applyProtection="1">
      <alignment horizontal="center"/>
      <protection locked="0"/>
    </xf>
    <xf numFmtId="164" fontId="20" fillId="0" borderId="55" xfId="2" applyFont="1" applyBorder="1" applyAlignment="1" applyProtection="1">
      <alignment horizontal="center"/>
      <protection locked="0"/>
    </xf>
    <xf numFmtId="172" fontId="20" fillId="11" borderId="15" xfId="3" applyNumberFormat="1" applyFont="1" applyFill="1" applyBorder="1" applyAlignment="1" applyProtection="1">
      <alignment horizontal="center"/>
      <protection locked="0"/>
    </xf>
    <xf numFmtId="164" fontId="20" fillId="10" borderId="60" xfId="2" applyFont="1" applyFill="1" applyBorder="1" applyAlignment="1" applyProtection="1">
      <alignment horizontal="center"/>
      <protection locked="0"/>
    </xf>
    <xf numFmtId="164" fontId="20" fillId="10" borderId="61" xfId="2" applyFont="1" applyFill="1" applyBorder="1" applyAlignment="1" applyProtection="1">
      <alignment horizontal="center"/>
      <protection locked="0"/>
    </xf>
    <xf numFmtId="165" fontId="20" fillId="6" borderId="14" xfId="1" applyFont="1" applyFill="1" applyBorder="1" applyAlignment="1" applyProtection="1">
      <alignment horizontal="center"/>
      <protection locked="0"/>
    </xf>
    <xf numFmtId="164" fontId="31" fillId="6" borderId="14" xfId="0" applyNumberFormat="1" applyFont="1" applyFill="1" applyBorder="1" applyProtection="1">
      <protection locked="0"/>
    </xf>
    <xf numFmtId="164" fontId="20" fillId="0" borderId="70" xfId="2" applyFont="1" applyBorder="1" applyAlignment="1" applyProtection="1">
      <alignment horizontal="center"/>
      <protection locked="0"/>
    </xf>
    <xf numFmtId="164" fontId="20" fillId="0" borderId="71" xfId="2" applyFont="1" applyBorder="1" applyAlignment="1" applyProtection="1">
      <alignment horizontal="center"/>
      <protection locked="0"/>
    </xf>
    <xf numFmtId="164" fontId="31" fillId="6" borderId="69" xfId="0" applyNumberFormat="1" applyFont="1" applyFill="1" applyBorder="1" applyProtection="1">
      <protection locked="0"/>
    </xf>
    <xf numFmtId="164" fontId="31" fillId="6" borderId="16" xfId="0" applyNumberFormat="1" applyFont="1" applyFill="1" applyBorder="1" applyProtection="1">
      <protection locked="0"/>
    </xf>
    <xf numFmtId="164" fontId="20" fillId="0" borderId="72" xfId="2" applyFont="1" applyBorder="1" applyAlignment="1" applyProtection="1">
      <alignment horizontal="center" shrinkToFit="1"/>
      <protection locked="0"/>
    </xf>
    <xf numFmtId="164" fontId="20" fillId="0" borderId="73" xfId="2" applyFont="1" applyBorder="1" applyAlignment="1" applyProtection="1">
      <alignment horizontal="center"/>
      <protection locked="0"/>
    </xf>
    <xf numFmtId="0" fontId="23" fillId="10" borderId="74" xfId="0" applyFont="1" applyFill="1" applyBorder="1" applyAlignment="1" applyProtection="1">
      <alignment horizontal="center" vertical="center"/>
      <protection locked="0"/>
    </xf>
    <xf numFmtId="0" fontId="23" fillId="10" borderId="75" xfId="0" applyFont="1" applyFill="1" applyBorder="1" applyAlignment="1" applyProtection="1">
      <alignment horizontal="center" vertical="center"/>
      <protection locked="0"/>
    </xf>
    <xf numFmtId="0" fontId="20" fillId="10" borderId="75" xfId="3" applyNumberFormat="1" applyFont="1" applyFill="1" applyBorder="1" applyAlignment="1" applyProtection="1">
      <alignment horizontal="center"/>
      <protection locked="0"/>
    </xf>
    <xf numFmtId="164" fontId="31" fillId="10" borderId="75" xfId="0" applyNumberFormat="1" applyFont="1" applyFill="1" applyBorder="1" applyProtection="1">
      <protection locked="0"/>
    </xf>
    <xf numFmtId="164" fontId="20" fillId="10" borderId="75" xfId="2" applyFont="1" applyFill="1" applyBorder="1" applyAlignment="1" applyProtection="1">
      <alignment horizontal="center"/>
      <protection locked="0"/>
    </xf>
    <xf numFmtId="164" fontId="20" fillId="10" borderId="76" xfId="2" applyFont="1" applyFill="1" applyBorder="1" applyAlignment="1" applyProtection="1">
      <alignment horizontal="center"/>
      <protection locked="0"/>
    </xf>
    <xf numFmtId="164" fontId="30" fillId="10" borderId="77" xfId="2" applyFont="1" applyFill="1" applyBorder="1" applyAlignment="1" applyProtection="1">
      <alignment horizontal="center"/>
      <protection locked="0"/>
    </xf>
    <xf numFmtId="164" fontId="31" fillId="10" borderId="78" xfId="0" applyNumberFormat="1" applyFont="1" applyFill="1" applyBorder="1" applyProtection="1">
      <protection locked="0"/>
    </xf>
    <xf numFmtId="164" fontId="20" fillId="10" borderId="79" xfId="2" applyFont="1" applyFill="1" applyBorder="1" applyAlignment="1" applyProtection="1">
      <alignment horizontal="center"/>
      <protection locked="0"/>
    </xf>
    <xf numFmtId="172" fontId="20" fillId="10" borderId="61" xfId="3" applyNumberFormat="1" applyFont="1" applyFill="1" applyBorder="1" applyAlignment="1" applyProtection="1">
      <alignment horizontal="center"/>
      <protection locked="0"/>
    </xf>
    <xf numFmtId="0" fontId="21" fillId="14" borderId="80" xfId="0" applyFont="1" applyFill="1" applyBorder="1" applyAlignment="1" applyProtection="1">
      <alignment horizontal="center" vertical="center" wrapText="1"/>
      <protection locked="0"/>
    </xf>
    <xf numFmtId="10" fontId="23" fillId="14" borderId="80" xfId="3" applyNumberFormat="1" applyFont="1" applyFill="1" applyBorder="1" applyAlignment="1" applyProtection="1">
      <alignment horizontal="center" vertical="center"/>
      <protection locked="0"/>
    </xf>
    <xf numFmtId="164" fontId="32" fillId="14" borderId="80" xfId="0" applyNumberFormat="1" applyFont="1" applyFill="1" applyBorder="1" applyAlignment="1" applyProtection="1">
      <alignment horizontal="center" vertical="center"/>
      <protection locked="0"/>
    </xf>
    <xf numFmtId="164" fontId="23" fillId="0" borderId="81" xfId="2" applyFont="1" applyBorder="1" applyAlignment="1" applyProtection="1">
      <alignment horizontal="center" vertical="center"/>
      <protection locked="0"/>
    </xf>
    <xf numFmtId="164" fontId="23" fillId="0" borderId="82" xfId="2" applyFont="1" applyBorder="1" applyAlignment="1" applyProtection="1">
      <alignment horizontal="center" vertical="center"/>
      <protection locked="0"/>
    </xf>
    <xf numFmtId="164" fontId="32" fillId="14" borderId="29" xfId="0" applyNumberFormat="1" applyFont="1" applyFill="1" applyBorder="1" applyAlignment="1" applyProtection="1">
      <alignment horizontal="center" vertical="center"/>
      <protection locked="0"/>
    </xf>
    <xf numFmtId="164" fontId="32" fillId="14" borderId="83" xfId="0" applyNumberFormat="1" applyFont="1" applyFill="1" applyBorder="1" applyAlignment="1" applyProtection="1">
      <alignment horizontal="center" vertical="center"/>
      <protection locked="0"/>
    </xf>
    <xf numFmtId="164" fontId="32" fillId="14" borderId="84" xfId="0" applyNumberFormat="1" applyFont="1" applyFill="1" applyBorder="1" applyAlignment="1" applyProtection="1">
      <alignment horizontal="center" vertical="center"/>
      <protection locked="0"/>
    </xf>
    <xf numFmtId="164" fontId="23" fillId="0" borderId="85" xfId="2" applyFont="1" applyBorder="1" applyAlignment="1" applyProtection="1">
      <alignment horizontal="center" vertical="center"/>
      <protection locked="0"/>
    </xf>
    <xf numFmtId="164" fontId="23" fillId="0" borderId="86" xfId="2" applyFont="1" applyBorder="1" applyAlignment="1" applyProtection="1">
      <alignment horizontal="center" vertical="center"/>
      <protection locked="0"/>
    </xf>
    <xf numFmtId="164" fontId="32" fillId="14" borderId="7" xfId="0" applyNumberFormat="1" applyFont="1" applyFill="1" applyBorder="1" applyAlignment="1" applyProtection="1">
      <alignment horizontal="center" vertical="center"/>
      <protection locked="0"/>
    </xf>
    <xf numFmtId="0" fontId="21" fillId="14" borderId="64" xfId="0" applyFont="1" applyFill="1" applyBorder="1" applyAlignment="1" applyProtection="1">
      <alignment horizontal="center" vertical="center" wrapText="1"/>
      <protection locked="0"/>
    </xf>
    <xf numFmtId="10" fontId="21" fillId="14" borderId="64" xfId="3" applyNumberFormat="1" applyFont="1" applyFill="1" applyBorder="1" applyAlignment="1" applyProtection="1">
      <alignment horizontal="center" vertical="center"/>
      <protection locked="0"/>
    </xf>
    <xf numFmtId="164" fontId="33" fillId="14" borderId="64" xfId="0" applyNumberFormat="1" applyFont="1" applyFill="1" applyBorder="1" applyAlignment="1" applyProtection="1">
      <alignment horizontal="center" vertical="center"/>
      <protection locked="0"/>
    </xf>
    <xf numFmtId="164" fontId="21" fillId="0" borderId="64" xfId="2" applyFont="1" applyBorder="1" applyAlignment="1" applyProtection="1">
      <alignment horizontal="center" vertical="center"/>
      <protection locked="0"/>
    </xf>
    <xf numFmtId="164" fontId="21" fillId="0" borderId="65" xfId="2" applyFont="1" applyBorder="1" applyAlignment="1" applyProtection="1">
      <alignment horizontal="center" vertical="center"/>
      <protection locked="0"/>
    </xf>
    <xf numFmtId="164" fontId="30" fillId="0" borderId="0" xfId="2" applyFont="1" applyBorder="1" applyAlignment="1" applyProtection="1">
      <alignment horizontal="center" vertical="center"/>
      <protection locked="0"/>
    </xf>
    <xf numFmtId="164" fontId="33" fillId="14" borderId="65" xfId="0" applyNumberFormat="1" applyFont="1" applyFill="1" applyBorder="1" applyAlignment="1" applyProtection="1">
      <alignment horizontal="center" vertical="center"/>
      <protection locked="0"/>
    </xf>
    <xf numFmtId="164" fontId="30" fillId="0" borderId="87" xfId="2" applyFont="1" applyBorder="1" applyAlignment="1" applyProtection="1">
      <alignment horizontal="center" vertical="center"/>
      <protection locked="0"/>
    </xf>
    <xf numFmtId="164" fontId="21" fillId="0" borderId="88" xfId="2" applyFont="1" applyBorder="1" applyAlignment="1" applyProtection="1">
      <alignment horizontal="center" vertical="center"/>
      <protection locked="0"/>
    </xf>
    <xf numFmtId="10" fontId="20" fillId="14" borderId="91" xfId="3" applyNumberFormat="1" applyFont="1" applyFill="1" applyBorder="1" applyAlignment="1" applyProtection="1">
      <alignment horizontal="center"/>
      <protection locked="0"/>
    </xf>
    <xf numFmtId="164" fontId="31" fillId="14" borderId="91" xfId="0" applyNumberFormat="1" applyFont="1" applyFill="1" applyBorder="1" applyProtection="1">
      <protection locked="0"/>
    </xf>
    <xf numFmtId="164" fontId="20" fillId="0" borderId="91" xfId="2" applyFont="1" applyBorder="1" applyAlignment="1" applyProtection="1">
      <alignment horizontal="center"/>
      <protection locked="0"/>
    </xf>
    <xf numFmtId="164" fontId="20" fillId="0" borderId="92" xfId="2" applyFont="1" applyBorder="1" applyAlignment="1" applyProtection="1">
      <alignment horizontal="center"/>
      <protection locked="0"/>
    </xf>
    <xf numFmtId="172" fontId="20" fillId="14" borderId="67" xfId="3" applyNumberFormat="1" applyFont="1" applyFill="1" applyBorder="1" applyAlignment="1" applyProtection="1">
      <alignment horizontal="center"/>
      <protection locked="0"/>
    </xf>
    <xf numFmtId="164" fontId="31" fillId="14" borderId="93" xfId="0" applyNumberFormat="1" applyFont="1" applyFill="1" applyBorder="1" applyProtection="1">
      <protection locked="0"/>
    </xf>
    <xf numFmtId="164" fontId="31" fillId="14" borderId="92" xfId="0" applyNumberFormat="1" applyFont="1" applyFill="1" applyBorder="1" applyProtection="1">
      <protection locked="0"/>
    </xf>
    <xf numFmtId="164" fontId="20" fillId="0" borderId="90" xfId="2" applyFont="1" applyBorder="1" applyAlignment="1" applyProtection="1">
      <alignment horizontal="center"/>
      <protection locked="0"/>
    </xf>
    <xf numFmtId="172" fontId="20" fillId="14" borderId="66" xfId="3" applyNumberFormat="1" applyFont="1" applyFill="1" applyBorder="1" applyAlignment="1" applyProtection="1">
      <alignment horizontal="center"/>
      <protection locked="0"/>
    </xf>
    <xf numFmtId="164" fontId="20" fillId="10" borderId="78" xfId="2" applyFont="1" applyFill="1" applyBorder="1" applyAlignment="1" applyProtection="1">
      <alignment horizontal="center"/>
      <protection locked="0"/>
    </xf>
    <xf numFmtId="164" fontId="20" fillId="10" borderId="38" xfId="2" applyFont="1" applyFill="1" applyBorder="1" applyAlignment="1" applyProtection="1">
      <alignment horizontal="center"/>
      <protection locked="0"/>
    </xf>
    <xf numFmtId="164" fontId="30" fillId="10" borderId="94" xfId="2" applyFont="1" applyFill="1" applyBorder="1" applyAlignment="1" applyProtection="1">
      <alignment horizontal="center"/>
      <protection locked="0"/>
    </xf>
    <xf numFmtId="164" fontId="30" fillId="10" borderId="74" xfId="2" applyFont="1" applyFill="1" applyBorder="1" applyAlignment="1" applyProtection="1">
      <alignment horizontal="center"/>
      <protection locked="0"/>
    </xf>
    <xf numFmtId="0" fontId="21" fillId="15" borderId="95" xfId="0" applyFont="1" applyFill="1" applyBorder="1" applyAlignment="1" applyProtection="1">
      <alignment horizontal="center"/>
      <protection locked="0"/>
    </xf>
    <xf numFmtId="10" fontId="23" fillId="15" borderId="95" xfId="3" applyNumberFormat="1" applyFont="1" applyFill="1" applyBorder="1" applyAlignment="1" applyProtection="1">
      <alignment horizontal="center"/>
      <protection locked="0"/>
    </xf>
    <xf numFmtId="164" fontId="32" fillId="15" borderId="95" xfId="0" applyNumberFormat="1" applyFont="1" applyFill="1" applyBorder="1" applyAlignment="1" applyProtection="1">
      <alignment horizontal="center" vertical="center"/>
      <protection locked="0"/>
    </xf>
    <xf numFmtId="164" fontId="23" fillId="0" borderId="95" xfId="2" applyFont="1" applyBorder="1" applyAlignment="1" applyProtection="1">
      <alignment horizontal="center" vertical="center"/>
      <protection locked="0"/>
    </xf>
    <xf numFmtId="164" fontId="23" fillId="0" borderId="96" xfId="2" applyFont="1" applyBorder="1" applyAlignment="1" applyProtection="1">
      <alignment horizontal="center" vertical="center"/>
      <protection locked="0"/>
    </xf>
    <xf numFmtId="164" fontId="32" fillId="15" borderId="29" xfId="0" applyNumberFormat="1" applyFont="1" applyFill="1" applyBorder="1" applyProtection="1">
      <protection locked="0"/>
    </xf>
    <xf numFmtId="164" fontId="32" fillId="15" borderId="97" xfId="0" applyNumberFormat="1" applyFont="1" applyFill="1" applyBorder="1" applyAlignment="1" applyProtection="1">
      <alignment horizontal="center" vertical="center"/>
      <protection locked="0"/>
    </xf>
    <xf numFmtId="164" fontId="32" fillId="15" borderId="96" xfId="0" applyNumberFormat="1" applyFont="1" applyFill="1" applyBorder="1" applyAlignment="1" applyProtection="1">
      <alignment horizontal="center" vertical="center"/>
      <protection locked="0"/>
    </xf>
    <xf numFmtId="164" fontId="32" fillId="15" borderId="98" xfId="0" applyNumberFormat="1" applyFont="1" applyFill="1" applyBorder="1" applyProtection="1">
      <protection locked="0"/>
    </xf>
    <xf numFmtId="0" fontId="21" fillId="15" borderId="100" xfId="0" applyFont="1" applyFill="1" applyBorder="1" applyAlignment="1" applyProtection="1">
      <alignment horizontal="center"/>
      <protection locked="0"/>
    </xf>
    <xf numFmtId="10" fontId="23" fillId="15" borderId="100" xfId="3" applyNumberFormat="1" applyFont="1" applyFill="1" applyBorder="1" applyAlignment="1" applyProtection="1">
      <alignment horizontal="center"/>
      <protection locked="0"/>
    </xf>
    <xf numFmtId="164" fontId="32" fillId="15" borderId="100" xfId="0" applyNumberFormat="1" applyFont="1" applyFill="1" applyBorder="1" applyAlignment="1" applyProtection="1">
      <alignment horizontal="center" vertical="center"/>
      <protection locked="0"/>
    </xf>
    <xf numFmtId="164" fontId="23" fillId="0" borderId="100" xfId="2" applyFont="1" applyBorder="1" applyAlignment="1" applyProtection="1">
      <alignment horizontal="center" vertical="center"/>
      <protection locked="0"/>
    </xf>
    <xf numFmtId="164" fontId="23" fillId="0" borderId="101" xfId="2" applyFont="1" applyBorder="1" applyAlignment="1" applyProtection="1">
      <alignment horizontal="center" vertical="center"/>
      <protection locked="0"/>
    </xf>
    <xf numFmtId="164" fontId="32" fillId="15" borderId="46" xfId="0" applyNumberFormat="1" applyFont="1" applyFill="1" applyBorder="1" applyProtection="1">
      <protection locked="0"/>
    </xf>
    <xf numFmtId="164" fontId="23" fillId="0" borderId="99" xfId="2" applyFont="1" applyBorder="1" applyAlignment="1" applyProtection="1">
      <alignment horizontal="center" vertical="center"/>
      <protection locked="0"/>
    </xf>
    <xf numFmtId="164" fontId="23" fillId="0" borderId="103" xfId="2" applyFont="1" applyBorder="1" applyAlignment="1" applyProtection="1">
      <alignment horizontal="center" vertical="center"/>
      <protection locked="0"/>
    </xf>
    <xf numFmtId="164" fontId="32" fillId="15" borderId="47" xfId="0" applyNumberFormat="1" applyFont="1" applyFill="1" applyBorder="1" applyProtection="1">
      <protection locked="0"/>
    </xf>
    <xf numFmtId="10" fontId="20" fillId="15" borderId="105" xfId="3" applyNumberFormat="1" applyFont="1" applyFill="1" applyBorder="1" applyAlignment="1" applyProtection="1">
      <alignment horizontal="center"/>
      <protection locked="0"/>
    </xf>
    <xf numFmtId="164" fontId="31" fillId="15" borderId="105" xfId="0" applyNumberFormat="1" applyFont="1" applyFill="1" applyBorder="1" applyProtection="1">
      <protection locked="0"/>
    </xf>
    <xf numFmtId="164" fontId="20" fillId="0" borderId="105" xfId="2" applyFont="1" applyBorder="1" applyAlignment="1" applyProtection="1">
      <alignment horizontal="center"/>
      <protection locked="0"/>
    </xf>
    <xf numFmtId="164" fontId="20" fillId="0" borderId="106" xfId="2" applyFont="1" applyBorder="1" applyAlignment="1" applyProtection="1">
      <alignment horizontal="center"/>
      <protection locked="0"/>
    </xf>
    <xf numFmtId="172" fontId="20" fillId="15" borderId="6" xfId="3" applyNumberFormat="1" applyFont="1" applyFill="1" applyBorder="1" applyAlignment="1" applyProtection="1">
      <alignment horizontal="center" shrinkToFit="1"/>
      <protection locked="0"/>
    </xf>
    <xf numFmtId="164" fontId="20" fillId="0" borderId="104" xfId="2" applyFont="1" applyBorder="1" applyAlignment="1" applyProtection="1">
      <alignment horizontal="center"/>
      <protection locked="0"/>
    </xf>
    <xf numFmtId="172" fontId="20" fillId="15" borderId="71" xfId="3" applyNumberFormat="1" applyFont="1" applyFill="1" applyBorder="1" applyAlignment="1" applyProtection="1">
      <alignment horizontal="center" shrinkToFit="1"/>
      <protection locked="0"/>
    </xf>
    <xf numFmtId="164" fontId="30" fillId="10" borderId="56" xfId="2" applyFont="1" applyFill="1" applyBorder="1" applyAlignment="1" applyProtection="1">
      <alignment horizontal="center"/>
      <protection locked="0"/>
    </xf>
    <xf numFmtId="0" fontId="21" fillId="16" borderId="107" xfId="0" applyFont="1" applyFill="1" applyBorder="1" applyAlignment="1" applyProtection="1">
      <alignment horizontal="center"/>
      <protection locked="0"/>
    </xf>
    <xf numFmtId="0" fontId="21" fillId="16" borderId="108" xfId="0" applyFont="1" applyFill="1" applyBorder="1" applyAlignment="1" applyProtection="1">
      <alignment horizontal="center"/>
      <protection locked="0"/>
    </xf>
    <xf numFmtId="10" fontId="23" fillId="16" borderId="108" xfId="3" applyNumberFormat="1" applyFont="1" applyFill="1" applyBorder="1" applyAlignment="1" applyProtection="1">
      <alignment horizontal="center"/>
      <protection locked="0"/>
    </xf>
    <xf numFmtId="164" fontId="32" fillId="16" borderId="108" xfId="0" applyNumberFormat="1" applyFont="1" applyFill="1" applyBorder="1" applyAlignment="1" applyProtection="1">
      <alignment horizontal="center" vertical="center"/>
      <protection locked="0"/>
    </xf>
    <xf numFmtId="164" fontId="23" fillId="16" borderId="108" xfId="2" applyFont="1" applyFill="1" applyBorder="1" applyAlignment="1" applyProtection="1">
      <alignment horizontal="center" vertical="center"/>
      <protection locked="0"/>
    </xf>
    <xf numFmtId="164" fontId="23" fillId="16" borderId="109" xfId="2" applyFont="1" applyFill="1" applyBorder="1" applyAlignment="1" applyProtection="1">
      <alignment horizontal="center" vertical="center"/>
      <protection locked="0"/>
    </xf>
    <xf numFmtId="164" fontId="32" fillId="16" borderId="110" xfId="0" applyNumberFormat="1" applyFont="1" applyFill="1" applyBorder="1" applyProtection="1">
      <protection locked="0"/>
    </xf>
    <xf numFmtId="164" fontId="32" fillId="16" borderId="111" xfId="0" applyNumberFormat="1" applyFont="1" applyFill="1" applyBorder="1" applyAlignment="1" applyProtection="1">
      <alignment horizontal="center" vertical="center"/>
      <protection locked="0"/>
    </xf>
    <xf numFmtId="164" fontId="32" fillId="16" borderId="109" xfId="0" applyNumberFormat="1" applyFont="1" applyFill="1" applyBorder="1" applyAlignment="1" applyProtection="1">
      <alignment horizontal="center" vertical="center"/>
      <protection locked="0"/>
    </xf>
    <xf numFmtId="164" fontId="23" fillId="16" borderId="112" xfId="2" applyFont="1" applyFill="1" applyBorder="1" applyAlignment="1" applyProtection="1">
      <alignment horizontal="center" vertical="center"/>
      <protection locked="0"/>
    </xf>
    <xf numFmtId="164" fontId="23" fillId="16" borderId="113" xfId="2" applyFont="1" applyFill="1" applyBorder="1" applyAlignment="1" applyProtection="1">
      <alignment horizontal="center" vertical="center"/>
      <protection locked="0"/>
    </xf>
    <xf numFmtId="164" fontId="32" fillId="16" borderId="114" xfId="0" applyNumberFormat="1" applyFont="1" applyFill="1" applyBorder="1" applyProtection="1">
      <protection locked="0"/>
    </xf>
    <xf numFmtId="0" fontId="21" fillId="16" borderId="60" xfId="0" applyFont="1" applyFill="1" applyBorder="1" applyAlignment="1" applyProtection="1">
      <alignment horizontal="center"/>
      <protection locked="0"/>
    </xf>
    <xf numFmtId="0" fontId="21" fillId="16" borderId="75" xfId="0" applyFont="1" applyFill="1" applyBorder="1" applyAlignment="1" applyProtection="1">
      <alignment horizontal="center"/>
      <protection locked="0"/>
    </xf>
    <xf numFmtId="10" fontId="23" fillId="16" borderId="75" xfId="3" applyNumberFormat="1" applyFont="1" applyFill="1" applyBorder="1" applyAlignment="1" applyProtection="1">
      <alignment horizontal="center"/>
      <protection locked="0"/>
    </xf>
    <xf numFmtId="164" fontId="32" fillId="16" borderId="75" xfId="0" applyNumberFormat="1" applyFont="1" applyFill="1" applyBorder="1" applyAlignment="1" applyProtection="1">
      <alignment horizontal="center" vertical="center"/>
      <protection locked="0"/>
    </xf>
    <xf numFmtId="164" fontId="23" fillId="16" borderId="75" xfId="2" applyFont="1" applyFill="1" applyBorder="1" applyAlignment="1" applyProtection="1">
      <alignment horizontal="center" vertical="center"/>
      <protection locked="0"/>
    </xf>
    <xf numFmtId="164" fontId="23" fillId="16" borderId="78" xfId="2" applyFont="1" applyFill="1" applyBorder="1" applyAlignment="1" applyProtection="1">
      <alignment horizontal="center" vertical="center"/>
      <protection locked="0"/>
    </xf>
    <xf numFmtId="164" fontId="32" fillId="16" borderId="38" xfId="0" applyNumberFormat="1" applyFont="1" applyFill="1" applyBorder="1" applyProtection="1">
      <protection locked="0"/>
    </xf>
    <xf numFmtId="164" fontId="32" fillId="16" borderId="94" xfId="0" applyNumberFormat="1" applyFont="1" applyFill="1" applyBorder="1" applyAlignment="1" applyProtection="1">
      <alignment horizontal="center" vertical="center"/>
      <protection locked="0"/>
    </xf>
    <xf numFmtId="164" fontId="32" fillId="16" borderId="78" xfId="0" applyNumberFormat="1" applyFont="1" applyFill="1" applyBorder="1" applyAlignment="1" applyProtection="1">
      <alignment horizontal="center" vertical="center"/>
      <protection locked="0"/>
    </xf>
    <xf numFmtId="164" fontId="23" fillId="16" borderId="74" xfId="2" applyFont="1" applyFill="1" applyBorder="1" applyAlignment="1" applyProtection="1">
      <alignment horizontal="center" vertical="center"/>
      <protection locked="0"/>
    </xf>
    <xf numFmtId="164" fontId="23" fillId="16" borderId="115" xfId="2" applyFont="1" applyFill="1" applyBorder="1" applyAlignment="1" applyProtection="1">
      <alignment horizontal="center" vertical="center"/>
      <protection locked="0"/>
    </xf>
    <xf numFmtId="164" fontId="32" fillId="16" borderId="61" xfId="0" applyNumberFormat="1" applyFont="1" applyFill="1" applyBorder="1" applyProtection="1">
      <protection locked="0"/>
    </xf>
    <xf numFmtId="10" fontId="20" fillId="16" borderId="91" xfId="3" applyNumberFormat="1" applyFont="1" applyFill="1" applyBorder="1" applyAlignment="1" applyProtection="1">
      <alignment horizontal="center"/>
      <protection locked="0"/>
    </xf>
    <xf numFmtId="164" fontId="31" fillId="16" borderId="91" xfId="0" applyNumberFormat="1" applyFont="1" applyFill="1" applyBorder="1" applyProtection="1">
      <protection locked="0"/>
    </xf>
    <xf numFmtId="164" fontId="20" fillId="16" borderId="91" xfId="2" applyFont="1" applyFill="1" applyBorder="1" applyAlignment="1" applyProtection="1">
      <alignment horizontal="center"/>
      <protection locked="0"/>
    </xf>
    <xf numFmtId="164" fontId="20" fillId="16" borderId="92" xfId="2" applyFont="1" applyFill="1" applyBorder="1" applyAlignment="1" applyProtection="1">
      <alignment horizontal="center"/>
      <protection locked="0"/>
    </xf>
    <xf numFmtId="172" fontId="20" fillId="16" borderId="67" xfId="3" applyNumberFormat="1" applyFont="1" applyFill="1" applyBorder="1" applyAlignment="1" applyProtection="1">
      <alignment horizontal="center"/>
      <protection locked="0"/>
    </xf>
    <xf numFmtId="164" fontId="31" fillId="16" borderId="93" xfId="0" applyNumberFormat="1" applyFont="1" applyFill="1" applyBorder="1" applyProtection="1">
      <protection locked="0"/>
    </xf>
    <xf numFmtId="164" fontId="31" fillId="16" borderId="92" xfId="0" applyNumberFormat="1" applyFont="1" applyFill="1" applyBorder="1" applyProtection="1">
      <protection locked="0"/>
    </xf>
    <xf numFmtId="164" fontId="20" fillId="16" borderId="90" xfId="2" applyFont="1" applyFill="1" applyBorder="1" applyAlignment="1" applyProtection="1">
      <alignment horizontal="center"/>
      <protection locked="0"/>
    </xf>
    <xf numFmtId="172" fontId="20" fillId="16" borderId="66" xfId="3" applyNumberFormat="1" applyFont="1" applyFill="1" applyBorder="1" applyAlignment="1" applyProtection="1">
      <alignment horizontal="center"/>
      <protection locked="0"/>
    </xf>
    <xf numFmtId="164" fontId="22" fillId="17" borderId="36" xfId="2" applyFont="1" applyFill="1" applyBorder="1" applyAlignment="1" applyProtection="1">
      <alignment horizontal="center"/>
      <protection locked="0"/>
    </xf>
    <xf numFmtId="164" fontId="20" fillId="0" borderId="40" xfId="2" applyFont="1" applyBorder="1" applyAlignment="1" applyProtection="1">
      <alignment horizontal="center"/>
      <protection locked="0"/>
    </xf>
    <xf numFmtId="164" fontId="20" fillId="0" borderId="36" xfId="2" applyFont="1" applyBorder="1" applyAlignment="1" applyProtection="1">
      <alignment horizontal="center"/>
      <protection locked="0"/>
    </xf>
    <xf numFmtId="164" fontId="34" fillId="17" borderId="117" xfId="2" applyFont="1" applyFill="1" applyBorder="1" applyAlignment="1" applyProtection="1">
      <alignment horizontal="center"/>
      <protection locked="0"/>
    </xf>
    <xf numFmtId="0" fontId="21" fillId="17" borderId="118" xfId="0" applyFont="1" applyFill="1" applyBorder="1" applyAlignment="1" applyProtection="1">
      <alignment horizontal="center"/>
      <protection locked="0"/>
    </xf>
    <xf numFmtId="10" fontId="21" fillId="17" borderId="100" xfId="3" applyNumberFormat="1" applyFont="1" applyFill="1" applyBorder="1" applyAlignment="1" applyProtection="1">
      <alignment horizontal="center"/>
      <protection locked="0"/>
    </xf>
    <xf numFmtId="165" fontId="22" fillId="17" borderId="100" xfId="1" applyFont="1" applyFill="1" applyBorder="1" applyAlignment="1" applyProtection="1">
      <alignment horizontal="center"/>
      <protection locked="0"/>
    </xf>
    <xf numFmtId="164" fontId="22" fillId="17" borderId="100" xfId="2" applyFont="1" applyFill="1" applyBorder="1" applyAlignment="1" applyProtection="1">
      <alignment horizontal="center"/>
      <protection locked="0"/>
    </xf>
    <xf numFmtId="164" fontId="23" fillId="0" borderId="100" xfId="2" applyFont="1" applyBorder="1" applyAlignment="1" applyProtection="1">
      <alignment horizontal="center"/>
      <protection locked="0"/>
    </xf>
    <xf numFmtId="164" fontId="23" fillId="0" borderId="101" xfId="2" applyFont="1" applyBorder="1" applyAlignment="1" applyProtection="1">
      <alignment horizontal="center"/>
      <protection locked="0"/>
    </xf>
    <xf numFmtId="172" fontId="20" fillId="17" borderId="6" xfId="3" applyNumberFormat="1" applyFont="1" applyFill="1" applyBorder="1" applyAlignment="1" applyProtection="1">
      <alignment horizontal="center"/>
      <protection locked="0"/>
    </xf>
    <xf numFmtId="164" fontId="22" fillId="17" borderId="102" xfId="2" applyFont="1" applyFill="1" applyBorder="1" applyAlignment="1" applyProtection="1">
      <alignment horizontal="center"/>
      <protection locked="0"/>
    </xf>
    <xf numFmtId="164" fontId="22" fillId="17" borderId="101" xfId="2" applyFont="1" applyFill="1" applyBorder="1" applyAlignment="1" applyProtection="1">
      <alignment horizontal="center"/>
      <protection locked="0"/>
    </xf>
    <xf numFmtId="172" fontId="20" fillId="17" borderId="71" xfId="3" applyNumberFormat="1" applyFont="1" applyFill="1" applyBorder="1" applyAlignment="1" applyProtection="1">
      <alignment horizontal="center"/>
      <protection locked="0"/>
    </xf>
    <xf numFmtId="0" fontId="23" fillId="17" borderId="119" xfId="0" applyFont="1" applyFill="1" applyBorder="1" applyAlignment="1" applyProtection="1">
      <alignment horizontal="center" vertical="center" wrapText="1"/>
      <protection locked="0"/>
    </xf>
    <xf numFmtId="164" fontId="31" fillId="17" borderId="119" xfId="0" applyNumberFormat="1" applyFont="1" applyFill="1" applyBorder="1" applyProtection="1">
      <protection locked="0"/>
    </xf>
    <xf numFmtId="164" fontId="20" fillId="0" borderId="119" xfId="2" applyFont="1" applyBorder="1" applyAlignment="1" applyProtection="1">
      <alignment horizontal="center"/>
      <protection locked="0"/>
    </xf>
    <xf numFmtId="172" fontId="20" fillId="17" borderId="120" xfId="3" applyNumberFormat="1" applyFont="1" applyFill="1" applyBorder="1" applyAlignment="1" applyProtection="1">
      <alignment horizontal="center"/>
      <protection locked="0"/>
    </xf>
    <xf numFmtId="164" fontId="31" fillId="17" borderId="93" xfId="0" applyNumberFormat="1" applyFont="1" applyFill="1" applyBorder="1" applyProtection="1">
      <protection locked="0"/>
    </xf>
    <xf numFmtId="164" fontId="31" fillId="17" borderId="92" xfId="0" applyNumberFormat="1" applyFont="1" applyFill="1" applyBorder="1" applyProtection="1">
      <protection locked="0"/>
    </xf>
    <xf numFmtId="172" fontId="20" fillId="17" borderId="66" xfId="3" applyNumberFormat="1" applyFont="1" applyFill="1" applyBorder="1" applyAlignment="1" applyProtection="1">
      <alignment horizontal="center"/>
      <protection locked="0"/>
    </xf>
    <xf numFmtId="0" fontId="35" fillId="2" borderId="1" xfId="0" applyFont="1" applyFill="1" applyBorder="1" applyAlignment="1" applyProtection="1">
      <alignment horizontal="center" vertical="center"/>
      <protection locked="0"/>
    </xf>
    <xf numFmtId="0" fontId="36" fillId="2" borderId="2" xfId="0" applyFont="1" applyFill="1" applyBorder="1" applyAlignment="1" applyProtection="1">
      <alignment horizontal="right" vertical="center"/>
      <protection locked="0"/>
    </xf>
    <xf numFmtId="164" fontId="19" fillId="2" borderId="16" xfId="2" applyFont="1" applyFill="1" applyBorder="1" applyAlignment="1" applyProtection="1">
      <alignment horizontal="center" vertical="center"/>
      <protection locked="0"/>
    </xf>
    <xf numFmtId="0" fontId="40" fillId="2" borderId="69" xfId="0" applyFont="1" applyFill="1" applyBorder="1" applyAlignment="1" applyProtection="1">
      <alignment horizontal="center" vertical="center"/>
      <protection locked="0"/>
    </xf>
    <xf numFmtId="0" fontId="41" fillId="2" borderId="69" xfId="0" applyFont="1" applyFill="1" applyBorder="1" applyAlignment="1" applyProtection="1">
      <alignment horizontal="center" vertical="center"/>
      <protection locked="0"/>
    </xf>
    <xf numFmtId="164" fontId="43" fillId="2" borderId="14" xfId="2" applyFont="1" applyFill="1" applyBorder="1" applyAlignment="1" applyProtection="1">
      <alignment horizontal="center" vertical="center"/>
      <protection locked="0"/>
    </xf>
    <xf numFmtId="164" fontId="43" fillId="2" borderId="16" xfId="2" applyFont="1" applyFill="1" applyBorder="1" applyAlignment="1" applyProtection="1">
      <alignment horizontal="center" vertical="center"/>
      <protection locked="0"/>
    </xf>
    <xf numFmtId="0" fontId="41" fillId="2" borderId="13" xfId="0" applyFont="1" applyFill="1" applyBorder="1" applyAlignment="1" applyProtection="1">
      <alignment horizontal="center" vertical="center"/>
      <protection locked="0"/>
    </xf>
    <xf numFmtId="0" fontId="41" fillId="2" borderId="20" xfId="0" applyFont="1" applyFill="1" applyBorder="1" applyAlignment="1" applyProtection="1">
      <alignment horizontal="center" vertical="center"/>
      <protection locked="0"/>
    </xf>
    <xf numFmtId="165" fontId="0" fillId="0" borderId="0" xfId="1" applyFont="1" applyProtection="1">
      <protection locked="0"/>
    </xf>
    <xf numFmtId="164" fontId="44" fillId="0" borderId="0" xfId="0" applyNumberFormat="1" applyFont="1" applyProtection="1">
      <protection locked="0"/>
    </xf>
    <xf numFmtId="164" fontId="45" fillId="0" borderId="0" xfId="0" applyNumberFormat="1" applyFont="1" applyProtection="1">
      <protection locked="0"/>
    </xf>
    <xf numFmtId="0" fontId="0" fillId="0" borderId="56" xfId="0" applyBorder="1" applyProtection="1">
      <protection locked="0"/>
    </xf>
    <xf numFmtId="0" fontId="0" fillId="0" borderId="122" xfId="0" applyBorder="1" applyProtection="1">
      <protection locked="0"/>
    </xf>
    <xf numFmtId="164" fontId="22" fillId="6" borderId="26" xfId="3" applyNumberFormat="1" applyFont="1" applyFill="1" applyBorder="1" applyAlignment="1" applyProtection="1">
      <alignment horizontal="center" vertical="center"/>
      <protection hidden="1"/>
    </xf>
    <xf numFmtId="164" fontId="22" fillId="6" borderId="26" xfId="2" applyFont="1" applyFill="1" applyBorder="1" applyAlignment="1" applyProtection="1">
      <alignment horizontal="center" vertical="center"/>
      <protection locked="0"/>
    </xf>
    <xf numFmtId="173" fontId="0" fillId="0" borderId="0" xfId="0" applyNumberFormat="1"/>
    <xf numFmtId="0" fontId="23" fillId="16" borderId="91" xfId="0" applyFont="1" applyFill="1" applyBorder="1" applyAlignment="1" applyProtection="1">
      <alignment horizontal="center" vertical="center" wrapText="1"/>
      <protection locked="0"/>
    </xf>
    <xf numFmtId="0" fontId="23" fillId="17" borderId="91" xfId="0" applyFont="1" applyFill="1" applyBorder="1" applyAlignment="1" applyProtection="1">
      <alignment horizontal="center" vertical="center" wrapText="1"/>
      <protection locked="0"/>
    </xf>
    <xf numFmtId="0" fontId="23" fillId="14" borderId="91" xfId="0" applyFont="1" applyFill="1" applyBorder="1" applyAlignment="1" applyProtection="1">
      <alignment horizontal="center" vertical="center" wrapText="1"/>
      <protection locked="0"/>
    </xf>
    <xf numFmtId="0" fontId="23" fillId="15" borderId="105" xfId="0" applyFont="1" applyFill="1" applyBorder="1" applyAlignment="1" applyProtection="1">
      <alignment horizontal="center" vertical="center" wrapText="1"/>
      <protection locked="0"/>
    </xf>
    <xf numFmtId="0" fontId="23" fillId="11" borderId="49" xfId="0" applyFont="1" applyFill="1" applyBorder="1" applyAlignment="1" applyProtection="1">
      <alignment horizontal="center" vertical="center"/>
      <protection locked="0"/>
    </xf>
    <xf numFmtId="0" fontId="23" fillId="6" borderId="69" xfId="0" applyFont="1" applyFill="1" applyBorder="1" applyAlignment="1" applyProtection="1">
      <alignment horizontal="center" vertical="center"/>
      <protection locked="0"/>
    </xf>
    <xf numFmtId="174" fontId="21" fillId="6" borderId="26" xfId="1" applyNumberFormat="1" applyFont="1" applyFill="1" applyBorder="1" applyAlignment="1" applyProtection="1">
      <alignment horizontal="center" vertical="center"/>
      <protection hidden="1"/>
    </xf>
    <xf numFmtId="174" fontId="21" fillId="6" borderId="27" xfId="1" applyNumberFormat="1" applyFont="1" applyFill="1" applyBorder="1" applyAlignment="1" applyProtection="1">
      <alignment horizontal="center" vertical="center"/>
      <protection hidden="1"/>
    </xf>
    <xf numFmtId="164" fontId="31" fillId="17" borderId="0" xfId="0" applyNumberFormat="1" applyFont="1" applyFill="1" applyProtection="1">
      <protection locked="0"/>
    </xf>
    <xf numFmtId="164" fontId="20" fillId="0" borderId="0" xfId="2" applyFont="1" applyBorder="1" applyAlignment="1" applyProtection="1">
      <alignment horizontal="center"/>
      <protection locked="0"/>
    </xf>
    <xf numFmtId="172" fontId="20" fillId="17" borderId="56" xfId="3" applyNumberFormat="1" applyFont="1" applyFill="1" applyBorder="1" applyAlignment="1" applyProtection="1">
      <alignment horizontal="center"/>
      <protection locked="0"/>
    </xf>
    <xf numFmtId="164" fontId="20" fillId="0" borderId="68" xfId="2" applyFont="1" applyBorder="1" applyAlignment="1" applyProtection="1">
      <alignment horizontal="center"/>
      <protection locked="0"/>
    </xf>
    <xf numFmtId="172" fontId="20" fillId="17" borderId="20" xfId="3" applyNumberFormat="1" applyFont="1" applyFill="1" applyBorder="1" applyAlignment="1" applyProtection="1">
      <alignment horizontal="center"/>
      <protection locked="0"/>
    </xf>
    <xf numFmtId="172" fontId="20" fillId="8" borderId="123" xfId="3" applyNumberFormat="1" applyFont="1" applyFill="1" applyBorder="1" applyAlignment="1" applyProtection="1">
      <alignment horizontal="left" vertical="center"/>
      <protection locked="0"/>
    </xf>
    <xf numFmtId="10" fontId="20" fillId="17" borderId="124" xfId="3" applyNumberFormat="1" applyFont="1" applyFill="1" applyBorder="1" applyAlignment="1" applyProtection="1">
      <alignment horizontal="center"/>
      <protection locked="0"/>
    </xf>
    <xf numFmtId="164" fontId="20" fillId="0" borderId="125" xfId="2" applyFont="1" applyBorder="1" applyAlignment="1" applyProtection="1">
      <alignment horizontal="center"/>
      <protection locked="0"/>
    </xf>
    <xf numFmtId="0" fontId="0" fillId="18" borderId="133" xfId="0" applyFill="1" applyBorder="1" applyAlignment="1">
      <alignment vertical="center"/>
    </xf>
    <xf numFmtId="0" fontId="0" fillId="18" borderId="136" xfId="0" applyFill="1" applyBorder="1" applyAlignment="1">
      <alignment vertical="center"/>
    </xf>
    <xf numFmtId="0" fontId="0" fillId="18" borderId="137" xfId="0" applyFill="1" applyBorder="1" applyAlignment="1">
      <alignment vertical="center"/>
    </xf>
    <xf numFmtId="164" fontId="0" fillId="18" borderId="137" xfId="0" applyNumberFormat="1" applyFill="1" applyBorder="1" applyAlignment="1">
      <alignment vertical="center"/>
    </xf>
    <xf numFmtId="164" fontId="0" fillId="18" borderId="135" xfId="0" applyNumberFormat="1" applyFill="1" applyBorder="1" applyAlignment="1">
      <alignment vertical="center"/>
    </xf>
    <xf numFmtId="0" fontId="0" fillId="19" borderId="126" xfId="0" applyFill="1" applyBorder="1"/>
    <xf numFmtId="0" fontId="0" fillId="19" borderId="136" xfId="0" applyFill="1" applyBorder="1"/>
    <xf numFmtId="0" fontId="0" fillId="19" borderId="137" xfId="0" applyFill="1" applyBorder="1"/>
    <xf numFmtId="0" fontId="0" fillId="19" borderId="135" xfId="0" applyFill="1" applyBorder="1"/>
    <xf numFmtId="164" fontId="31" fillId="18" borderId="137" xfId="0" applyNumberFormat="1" applyFont="1" applyFill="1" applyBorder="1" applyAlignment="1">
      <alignment vertical="center"/>
    </xf>
    <xf numFmtId="0" fontId="0" fillId="20" borderId="0" xfId="0" applyFill="1"/>
    <xf numFmtId="0" fontId="0" fillId="20" borderId="144" xfId="0" applyFill="1" applyBorder="1"/>
    <xf numFmtId="0" fontId="0" fillId="20" borderId="145" xfId="0" applyFill="1" applyBorder="1"/>
    <xf numFmtId="0" fontId="36" fillId="2" borderId="146" xfId="0" applyFont="1" applyFill="1" applyBorder="1" applyAlignment="1" applyProtection="1">
      <alignment horizontal="right" vertical="center"/>
      <protection locked="0"/>
    </xf>
    <xf numFmtId="0" fontId="0" fillId="20" borderId="137" xfId="0" applyFill="1" applyBorder="1"/>
    <xf numFmtId="165" fontId="37" fillId="2" borderId="147" xfId="1" applyFont="1" applyFill="1" applyBorder="1" applyAlignment="1" applyProtection="1">
      <alignment horizontal="center" vertical="center"/>
      <protection locked="0"/>
    </xf>
    <xf numFmtId="164" fontId="19" fillId="2" borderId="148" xfId="2" applyFont="1" applyFill="1" applyBorder="1" applyAlignment="1" applyProtection="1">
      <alignment horizontal="center" vertical="center"/>
      <protection locked="0"/>
    </xf>
    <xf numFmtId="172" fontId="39" fillId="2" borderId="56" xfId="3" applyNumberFormat="1" applyFont="1" applyFill="1" applyBorder="1" applyAlignment="1" applyProtection="1">
      <alignment horizontal="center" vertical="center"/>
      <protection locked="0"/>
    </xf>
    <xf numFmtId="0" fontId="41" fillId="2" borderId="149" xfId="0" applyFont="1" applyFill="1" applyBorder="1" applyAlignment="1" applyProtection="1">
      <alignment horizontal="center" vertical="center"/>
      <protection locked="0"/>
    </xf>
    <xf numFmtId="164" fontId="19" fillId="2" borderId="150" xfId="2" applyFont="1" applyFill="1" applyBorder="1" applyAlignment="1" applyProtection="1">
      <alignment horizontal="center" vertical="center"/>
      <protection locked="0"/>
    </xf>
    <xf numFmtId="164" fontId="19" fillId="2" borderId="151" xfId="2" applyFont="1" applyFill="1" applyBorder="1" applyAlignment="1" applyProtection="1">
      <alignment horizontal="center" vertical="center"/>
      <protection locked="0"/>
    </xf>
    <xf numFmtId="164" fontId="38" fillId="2" borderId="22" xfId="2" applyFont="1" applyFill="1" applyBorder="1" applyAlignment="1" applyProtection="1">
      <alignment horizontal="center" vertical="center"/>
      <protection locked="0"/>
    </xf>
    <xf numFmtId="164" fontId="42" fillId="2" borderId="149" xfId="2" applyFont="1" applyFill="1" applyBorder="1" applyAlignment="1" applyProtection="1">
      <alignment horizontal="center" vertical="center"/>
      <protection locked="0"/>
    </xf>
    <xf numFmtId="164" fontId="38" fillId="2" borderId="151" xfId="2" applyFont="1" applyFill="1" applyBorder="1" applyAlignment="1" applyProtection="1">
      <alignment horizontal="center" vertical="center"/>
      <protection locked="0"/>
    </xf>
    <xf numFmtId="164" fontId="31" fillId="19" borderId="138" xfId="0" applyNumberFormat="1" applyFont="1" applyFill="1" applyBorder="1" applyAlignment="1">
      <alignment vertical="center"/>
    </xf>
    <xf numFmtId="164" fontId="31" fillId="20" borderId="134" xfId="0" applyNumberFormat="1" applyFont="1" applyFill="1" applyBorder="1"/>
    <xf numFmtId="172" fontId="20" fillId="19" borderId="56" xfId="3" applyNumberFormat="1" applyFont="1" applyFill="1" applyBorder="1" applyAlignment="1" applyProtection="1">
      <alignment horizontal="center"/>
      <protection locked="0"/>
    </xf>
    <xf numFmtId="164" fontId="31" fillId="19" borderId="4" xfId="0" applyNumberFormat="1" applyFont="1" applyFill="1" applyBorder="1" applyProtection="1">
      <protection locked="0"/>
    </xf>
    <xf numFmtId="172" fontId="20" fillId="20" borderId="56" xfId="3" applyNumberFormat="1" applyFont="1" applyFill="1" applyBorder="1" applyAlignment="1" applyProtection="1">
      <alignment horizontal="center"/>
      <protection locked="0"/>
    </xf>
    <xf numFmtId="0" fontId="21" fillId="17" borderId="153" xfId="0" applyFont="1" applyFill="1" applyBorder="1" applyAlignment="1" applyProtection="1">
      <alignment horizontal="center"/>
      <protection locked="0"/>
    </xf>
    <xf numFmtId="0" fontId="30" fillId="16" borderId="56" xfId="0" applyFont="1" applyFill="1" applyBorder="1" applyAlignment="1" applyProtection="1">
      <alignment horizontal="center" textRotation="45" wrapText="1"/>
      <protection locked="0"/>
    </xf>
    <xf numFmtId="165" fontId="22" fillId="17" borderId="155" xfId="1" applyFont="1" applyFill="1" applyBorder="1" applyAlignment="1" applyProtection="1">
      <alignment horizontal="center"/>
      <protection locked="0"/>
    </xf>
    <xf numFmtId="164" fontId="31" fillId="16" borderId="119" xfId="0" applyNumberFormat="1" applyFont="1" applyFill="1" applyBorder="1" applyProtection="1">
      <protection locked="0"/>
    </xf>
    <xf numFmtId="0" fontId="20" fillId="10" borderId="156" xfId="3" applyNumberFormat="1" applyFont="1" applyFill="1" applyBorder="1" applyAlignment="1" applyProtection="1">
      <alignment horizontal="center"/>
      <protection locked="0"/>
    </xf>
    <xf numFmtId="164" fontId="22" fillId="17" borderId="155" xfId="2" applyFont="1" applyFill="1" applyBorder="1" applyAlignment="1" applyProtection="1">
      <alignment horizontal="center"/>
      <protection locked="0"/>
    </xf>
    <xf numFmtId="164" fontId="34" fillId="17" borderId="155" xfId="2" applyFont="1" applyFill="1" applyBorder="1" applyAlignment="1" applyProtection="1">
      <alignment horizontal="center"/>
      <protection locked="0"/>
    </xf>
    <xf numFmtId="164" fontId="23" fillId="0" borderId="155" xfId="2" applyFont="1" applyBorder="1" applyAlignment="1" applyProtection="1">
      <alignment horizontal="center"/>
      <protection locked="0"/>
    </xf>
    <xf numFmtId="164" fontId="23" fillId="0" borderId="157" xfId="2" applyFont="1" applyBorder="1" applyAlignment="1" applyProtection="1">
      <alignment horizontal="center"/>
      <protection locked="0"/>
    </xf>
    <xf numFmtId="164" fontId="34" fillId="17" borderId="158" xfId="2" applyFont="1" applyFill="1" applyBorder="1" applyAlignment="1" applyProtection="1">
      <alignment horizontal="center"/>
      <protection locked="0"/>
    </xf>
    <xf numFmtId="164" fontId="22" fillId="17" borderId="159" xfId="2" applyFont="1" applyFill="1" applyBorder="1" applyAlignment="1" applyProtection="1">
      <alignment horizontal="center"/>
      <protection locked="0"/>
    </xf>
    <xf numFmtId="164" fontId="34" fillId="17" borderId="157" xfId="2" applyFont="1" applyFill="1" applyBorder="1" applyAlignment="1" applyProtection="1">
      <alignment horizontal="center"/>
      <protection locked="0"/>
    </xf>
    <xf numFmtId="164" fontId="20" fillId="0" borderId="160" xfId="2" applyFont="1" applyBorder="1" applyAlignment="1" applyProtection="1">
      <alignment horizontal="center"/>
      <protection locked="0"/>
    </xf>
    <xf numFmtId="164" fontId="23" fillId="0" borderId="161" xfId="2" applyFont="1" applyBorder="1" applyAlignment="1" applyProtection="1">
      <alignment horizontal="center" vertical="center"/>
      <protection locked="0"/>
    </xf>
    <xf numFmtId="164" fontId="30" fillId="10" borderId="162" xfId="2" applyFont="1" applyFill="1" applyBorder="1" applyAlignment="1" applyProtection="1">
      <alignment horizontal="center"/>
      <protection locked="0"/>
    </xf>
    <xf numFmtId="164" fontId="23" fillId="0" borderId="159" xfId="2" applyFont="1" applyBorder="1" applyAlignment="1" applyProtection="1">
      <alignment horizontal="center" vertical="center"/>
      <protection locked="0"/>
    </xf>
    <xf numFmtId="10" fontId="21" fillId="17" borderId="155" xfId="3" quotePrefix="1" applyNumberFormat="1" applyFont="1" applyFill="1" applyBorder="1" applyAlignment="1" applyProtection="1">
      <alignment horizontal="center"/>
      <protection locked="0"/>
    </xf>
    <xf numFmtId="172" fontId="20" fillId="18" borderId="163" xfId="3" applyNumberFormat="1" applyFont="1" applyFill="1" applyBorder="1" applyAlignment="1" applyProtection="1">
      <alignment horizontal="center"/>
      <protection locked="0"/>
    </xf>
    <xf numFmtId="172" fontId="20" fillId="18" borderId="164" xfId="3" applyNumberFormat="1" applyFont="1" applyFill="1" applyBorder="1" applyAlignment="1" applyProtection="1">
      <alignment horizontal="center"/>
      <protection locked="0"/>
    </xf>
    <xf numFmtId="164" fontId="20" fillId="0" borderId="56" xfId="2" applyFont="1" applyBorder="1" applyAlignment="1" applyProtection="1">
      <alignment horizontal="center"/>
      <protection locked="0"/>
    </xf>
    <xf numFmtId="164" fontId="20" fillId="0" borderId="166" xfId="2" applyFont="1" applyBorder="1" applyAlignment="1" applyProtection="1">
      <alignment horizontal="center"/>
      <protection locked="0"/>
    </xf>
    <xf numFmtId="164" fontId="20" fillId="0" borderId="126" xfId="2" applyFont="1" applyBorder="1" applyAlignment="1" applyProtection="1">
      <alignment horizontal="center"/>
      <protection locked="0"/>
    </xf>
    <xf numFmtId="172" fontId="20" fillId="17" borderId="122" xfId="3" applyNumberFormat="1" applyFont="1" applyFill="1" applyBorder="1" applyAlignment="1" applyProtection="1">
      <alignment horizontal="center"/>
      <protection locked="0"/>
    </xf>
    <xf numFmtId="164" fontId="31" fillId="19" borderId="0" xfId="0" applyNumberFormat="1" applyFont="1" applyFill="1" applyProtection="1">
      <protection locked="0"/>
    </xf>
    <xf numFmtId="164" fontId="31" fillId="19" borderId="165" xfId="0" applyNumberFormat="1" applyFont="1" applyFill="1" applyBorder="1" applyProtection="1">
      <protection locked="0"/>
    </xf>
    <xf numFmtId="172" fontId="20" fillId="20" borderId="163" xfId="3" applyNumberFormat="1" applyFont="1" applyFill="1" applyBorder="1" applyAlignment="1" applyProtection="1">
      <alignment horizontal="center"/>
      <protection locked="0"/>
    </xf>
    <xf numFmtId="164" fontId="31" fillId="20" borderId="0" xfId="0" applyNumberFormat="1" applyFont="1" applyFill="1" applyProtection="1">
      <protection locked="0"/>
    </xf>
    <xf numFmtId="164" fontId="20" fillId="0" borderId="116" xfId="2" applyFont="1" applyBorder="1" applyAlignment="1" applyProtection="1">
      <alignment horizontal="center"/>
      <protection locked="0"/>
    </xf>
    <xf numFmtId="164" fontId="31" fillId="20" borderId="126" xfId="0" applyNumberFormat="1" applyFont="1" applyFill="1" applyBorder="1" applyProtection="1">
      <protection locked="0"/>
    </xf>
    <xf numFmtId="164" fontId="32" fillId="15" borderId="168" xfId="0" applyNumberFormat="1" applyFont="1" applyFill="1" applyBorder="1" applyAlignment="1" applyProtection="1">
      <alignment horizontal="center" vertical="center"/>
      <protection locked="0"/>
    </xf>
    <xf numFmtId="164" fontId="31" fillId="15" borderId="167" xfId="0" applyNumberFormat="1" applyFont="1" applyFill="1" applyBorder="1" applyProtection="1">
      <protection locked="0"/>
    </xf>
    <xf numFmtId="164" fontId="32" fillId="15" borderId="170" xfId="0" applyNumberFormat="1" applyFont="1" applyFill="1" applyBorder="1" applyAlignment="1" applyProtection="1">
      <alignment horizontal="center" vertical="center"/>
      <protection locked="0"/>
    </xf>
    <xf numFmtId="164" fontId="31" fillId="15" borderId="169" xfId="0" applyNumberFormat="1" applyFont="1" applyFill="1" applyBorder="1" applyProtection="1">
      <protection locked="0"/>
    </xf>
    <xf numFmtId="164" fontId="31" fillId="18" borderId="171" xfId="0" applyNumberFormat="1" applyFont="1" applyFill="1" applyBorder="1" applyProtection="1">
      <protection locked="0"/>
    </xf>
    <xf numFmtId="164" fontId="31" fillId="18" borderId="172" xfId="0" applyNumberFormat="1" applyFont="1" applyFill="1" applyBorder="1" applyProtection="1">
      <protection locked="0"/>
    </xf>
    <xf numFmtId="164" fontId="31" fillId="19" borderId="173" xfId="0" applyNumberFormat="1" applyFont="1" applyFill="1" applyBorder="1" applyProtection="1">
      <protection locked="0"/>
    </xf>
    <xf numFmtId="172" fontId="20" fillId="19" borderId="174" xfId="3" applyNumberFormat="1" applyFont="1" applyFill="1" applyBorder="1" applyAlignment="1" applyProtection="1">
      <alignment horizontal="center"/>
      <protection locked="0"/>
    </xf>
    <xf numFmtId="164" fontId="31" fillId="20" borderId="175" xfId="0" applyNumberFormat="1" applyFont="1" applyFill="1" applyBorder="1" applyProtection="1">
      <protection locked="0"/>
    </xf>
    <xf numFmtId="172" fontId="20" fillId="20" borderId="174" xfId="3" applyNumberFormat="1" applyFont="1" applyFill="1" applyBorder="1" applyAlignment="1" applyProtection="1">
      <alignment horizontal="center"/>
      <protection locked="0"/>
    </xf>
    <xf numFmtId="164" fontId="20" fillId="0" borderId="176" xfId="2" applyFont="1" applyBorder="1" applyAlignment="1" applyProtection="1">
      <alignment horizontal="center"/>
      <protection locked="0"/>
    </xf>
    <xf numFmtId="164" fontId="20" fillId="0" borderId="177" xfId="2" applyFont="1" applyBorder="1" applyAlignment="1" applyProtection="1">
      <alignment horizontal="center"/>
      <protection locked="0"/>
    </xf>
    <xf numFmtId="172" fontId="20" fillId="17" borderId="178" xfId="3" applyNumberFormat="1" applyFont="1" applyFill="1" applyBorder="1" applyAlignment="1" applyProtection="1">
      <alignment horizontal="center"/>
      <protection locked="0"/>
    </xf>
    <xf numFmtId="164" fontId="20" fillId="0" borderId="179" xfId="2" applyFont="1" applyBorder="1" applyAlignment="1" applyProtection="1">
      <alignment horizontal="center"/>
      <protection locked="0"/>
    </xf>
    <xf numFmtId="164" fontId="19" fillId="2" borderId="180" xfId="2" applyFont="1" applyFill="1" applyBorder="1" applyAlignment="1" applyProtection="1">
      <alignment horizontal="center" vertical="center"/>
      <protection locked="0"/>
    </xf>
    <xf numFmtId="164" fontId="19" fillId="2" borderId="149" xfId="2" applyFont="1" applyFill="1" applyBorder="1" applyAlignment="1" applyProtection="1">
      <alignment horizontal="center" vertical="center"/>
      <protection locked="0"/>
    </xf>
    <xf numFmtId="172" fontId="19" fillId="2" borderId="181" xfId="3" applyNumberFormat="1" applyFont="1" applyFill="1" applyBorder="1" applyAlignment="1" applyProtection="1">
      <alignment horizontal="center" vertical="center"/>
      <protection locked="0"/>
    </xf>
    <xf numFmtId="164" fontId="31" fillId="18" borderId="182" xfId="0" applyNumberFormat="1" applyFont="1" applyFill="1" applyBorder="1" applyProtection="1">
      <protection locked="0"/>
    </xf>
    <xf numFmtId="164" fontId="31" fillId="18" borderId="183" xfId="0" applyNumberFormat="1" applyFont="1" applyFill="1" applyBorder="1" applyProtection="1">
      <protection locked="0"/>
    </xf>
    <xf numFmtId="164" fontId="31" fillId="19" borderId="182" xfId="0" applyNumberFormat="1" applyFont="1" applyFill="1" applyBorder="1" applyProtection="1">
      <protection locked="0"/>
    </xf>
    <xf numFmtId="164" fontId="31" fillId="19" borderId="184" xfId="0" applyNumberFormat="1" applyFont="1" applyFill="1" applyBorder="1" applyProtection="1">
      <protection locked="0"/>
    </xf>
    <xf numFmtId="164" fontId="31" fillId="20" borderId="185" xfId="0" applyNumberFormat="1" applyFont="1" applyFill="1" applyBorder="1" applyProtection="1">
      <protection locked="0"/>
    </xf>
    <xf numFmtId="164" fontId="31" fillId="20" borderId="186" xfId="0" applyNumberFormat="1" applyFont="1" applyFill="1" applyBorder="1" applyProtection="1">
      <protection locked="0"/>
    </xf>
    <xf numFmtId="164" fontId="20" fillId="0" borderId="187" xfId="2" applyFont="1" applyBorder="1" applyAlignment="1" applyProtection="1">
      <alignment horizontal="center"/>
      <protection locked="0"/>
    </xf>
    <xf numFmtId="164" fontId="20" fillId="0" borderId="188" xfId="2" applyFont="1" applyBorder="1" applyAlignment="1" applyProtection="1">
      <alignment horizontal="center"/>
      <protection locked="0"/>
    </xf>
    <xf numFmtId="172" fontId="20" fillId="17" borderId="183" xfId="3" applyNumberFormat="1" applyFont="1" applyFill="1" applyBorder="1" applyAlignment="1" applyProtection="1">
      <alignment horizontal="center"/>
      <protection locked="0"/>
    </xf>
    <xf numFmtId="172" fontId="20" fillId="17" borderId="182" xfId="3" applyNumberFormat="1" applyFont="1" applyFill="1" applyBorder="1" applyAlignment="1" applyProtection="1">
      <alignment horizontal="center"/>
      <protection locked="0"/>
    </xf>
    <xf numFmtId="164" fontId="20" fillId="0" borderId="189" xfId="2" applyFont="1" applyBorder="1" applyAlignment="1" applyProtection="1">
      <alignment horizontal="center"/>
      <protection locked="0"/>
    </xf>
    <xf numFmtId="172" fontId="20" fillId="17" borderId="190" xfId="3" applyNumberFormat="1" applyFont="1" applyFill="1" applyBorder="1" applyAlignment="1" applyProtection="1">
      <alignment horizontal="center"/>
      <protection locked="0"/>
    </xf>
    <xf numFmtId="164" fontId="20" fillId="0" borderId="191" xfId="2" applyFont="1" applyBorder="1" applyAlignment="1" applyProtection="1">
      <alignment horizontal="center"/>
      <protection locked="0"/>
    </xf>
    <xf numFmtId="164" fontId="20" fillId="0" borderId="192" xfId="2" applyFont="1" applyBorder="1" applyAlignment="1" applyProtection="1">
      <alignment horizontal="center"/>
      <protection locked="0"/>
    </xf>
    <xf numFmtId="172" fontId="20" fillId="17" borderId="193" xfId="3" applyNumberFormat="1" applyFont="1" applyFill="1" applyBorder="1" applyAlignment="1" applyProtection="1">
      <alignment horizontal="center"/>
      <protection locked="0"/>
    </xf>
    <xf numFmtId="175" fontId="0" fillId="0" borderId="0" xfId="0" applyNumberFormat="1"/>
    <xf numFmtId="0" fontId="39" fillId="3" borderId="2" xfId="0" applyFont="1" applyFill="1" applyBorder="1" applyAlignment="1" applyProtection="1">
      <alignment horizontal="center" vertical="center"/>
      <protection locked="0"/>
    </xf>
    <xf numFmtId="170" fontId="21" fillId="6" borderId="36" xfId="3" applyNumberFormat="1" applyFont="1" applyFill="1" applyBorder="1" applyAlignment="1" applyProtection="1">
      <alignment horizontal="center"/>
      <protection hidden="1"/>
    </xf>
    <xf numFmtId="170" fontId="21" fillId="6" borderId="36" xfId="3" applyNumberFormat="1" applyFont="1" applyFill="1" applyBorder="1" applyAlignment="1" applyProtection="1">
      <alignment horizontal="center"/>
      <protection locked="0"/>
    </xf>
    <xf numFmtId="170" fontId="21" fillId="6" borderId="36" xfId="3" quotePrefix="1" applyNumberFormat="1" applyFont="1" applyFill="1" applyBorder="1" applyAlignment="1" applyProtection="1">
      <alignment horizontal="center"/>
      <protection locked="0"/>
    </xf>
    <xf numFmtId="164" fontId="0" fillId="0" borderId="0" xfId="2" applyFont="1"/>
    <xf numFmtId="164" fontId="0" fillId="20" borderId="131" xfId="0" applyNumberFormat="1" applyFill="1" applyBorder="1" applyAlignment="1">
      <alignment horizontal="center" vertical="center"/>
    </xf>
    <xf numFmtId="164" fontId="0" fillId="20" borderId="132" xfId="0" applyNumberFormat="1" applyFill="1" applyBorder="1" applyAlignment="1">
      <alignment horizontal="center" vertical="center"/>
    </xf>
    <xf numFmtId="0" fontId="0" fillId="20" borderId="131" xfId="0" applyFill="1" applyBorder="1" applyAlignment="1">
      <alignment horizontal="center" vertical="center"/>
    </xf>
    <xf numFmtId="0" fontId="0" fillId="20" borderId="132" xfId="0" applyFill="1" applyBorder="1" applyAlignment="1">
      <alignment horizontal="center" vertical="center"/>
    </xf>
    <xf numFmtId="0" fontId="0" fillId="20" borderId="139" xfId="0" applyFill="1" applyBorder="1" applyAlignment="1">
      <alignment horizontal="center" vertical="center"/>
    </xf>
    <xf numFmtId="0" fontId="0" fillId="20" borderId="140" xfId="0" applyFill="1" applyBorder="1" applyAlignment="1">
      <alignment horizontal="center" vertical="center"/>
    </xf>
    <xf numFmtId="0" fontId="54" fillId="20" borderId="126" xfId="0" applyFont="1" applyFill="1" applyBorder="1" applyAlignment="1">
      <alignment horizontal="center"/>
    </xf>
    <xf numFmtId="0" fontId="54" fillId="20" borderId="141" xfId="0" applyFont="1" applyFill="1" applyBorder="1" applyAlignment="1">
      <alignment horizontal="center" vertical="center" textRotation="45"/>
    </xf>
    <xf numFmtId="0" fontId="54" fillId="20" borderId="142" xfId="0" applyFont="1" applyFill="1" applyBorder="1" applyAlignment="1">
      <alignment horizontal="center" vertical="center" textRotation="45"/>
    </xf>
    <xf numFmtId="0" fontId="53" fillId="20" borderId="143" xfId="0" applyFont="1" applyFill="1" applyBorder="1" applyAlignment="1">
      <alignment horizontal="center" vertical="center"/>
    </xf>
    <xf numFmtId="0" fontId="53" fillId="20" borderId="152" xfId="0" applyFont="1" applyFill="1" applyBorder="1" applyAlignment="1">
      <alignment horizontal="center" vertical="center"/>
    </xf>
    <xf numFmtId="0" fontId="0" fillId="20" borderId="129" xfId="0" applyFill="1" applyBorder="1" applyAlignment="1">
      <alignment horizontal="center" vertical="center"/>
    </xf>
    <xf numFmtId="0" fontId="0" fillId="20" borderId="130" xfId="0" applyFill="1" applyBorder="1" applyAlignment="1">
      <alignment horizontal="center" vertical="center"/>
    </xf>
    <xf numFmtId="164" fontId="55" fillId="19" borderId="131" xfId="0" applyNumberFormat="1" applyFont="1" applyFill="1" applyBorder="1" applyAlignment="1">
      <alignment horizontal="center" vertical="center"/>
    </xf>
    <xf numFmtId="164" fontId="55" fillId="19" borderId="132" xfId="0" applyNumberFormat="1" applyFont="1" applyFill="1" applyBorder="1" applyAlignment="1">
      <alignment horizontal="center" vertical="center"/>
    </xf>
    <xf numFmtId="0" fontId="0" fillId="19" borderId="131" xfId="0" applyFill="1" applyBorder="1" applyAlignment="1">
      <alignment horizontal="center"/>
    </xf>
    <xf numFmtId="0" fontId="0" fillId="19" borderId="132" xfId="0" applyFill="1" applyBorder="1" applyAlignment="1">
      <alignment horizontal="center"/>
    </xf>
    <xf numFmtId="0" fontId="0" fillId="19" borderId="139" xfId="0" applyFill="1" applyBorder="1" applyAlignment="1">
      <alignment horizontal="center"/>
    </xf>
    <xf numFmtId="0" fontId="0" fillId="19" borderId="140" xfId="0" applyFill="1" applyBorder="1" applyAlignment="1">
      <alignment horizontal="center"/>
    </xf>
    <xf numFmtId="0" fontId="54" fillId="19" borderId="126" xfId="0" applyFont="1" applyFill="1" applyBorder="1" applyAlignment="1">
      <alignment horizontal="center"/>
    </xf>
    <xf numFmtId="0" fontId="54" fillId="19" borderId="141" xfId="0" applyFont="1" applyFill="1" applyBorder="1" applyAlignment="1">
      <alignment horizontal="center" vertical="center" textRotation="45"/>
    </xf>
    <xf numFmtId="0" fontId="54" fillId="19" borderId="142" xfId="0" applyFont="1" applyFill="1" applyBorder="1" applyAlignment="1">
      <alignment horizontal="center" vertical="center" textRotation="45"/>
    </xf>
    <xf numFmtId="0" fontId="56" fillId="19" borderId="143" xfId="0" applyFont="1" applyFill="1" applyBorder="1" applyAlignment="1">
      <alignment horizontal="center" vertical="center" wrapText="1"/>
    </xf>
    <xf numFmtId="0" fontId="56" fillId="19" borderId="152" xfId="0" applyFont="1" applyFill="1" applyBorder="1" applyAlignment="1">
      <alignment horizontal="center" vertical="center" wrapText="1"/>
    </xf>
    <xf numFmtId="0" fontId="0" fillId="19" borderId="129" xfId="0" applyFill="1" applyBorder="1" applyAlignment="1">
      <alignment horizontal="center"/>
    </xf>
    <xf numFmtId="0" fontId="0" fillId="19" borderId="130" xfId="0" applyFill="1" applyBorder="1" applyAlignment="1">
      <alignment horizontal="center"/>
    </xf>
    <xf numFmtId="164" fontId="55" fillId="18" borderId="131" xfId="0" applyNumberFormat="1" applyFont="1" applyFill="1" applyBorder="1" applyAlignment="1">
      <alignment horizontal="center" vertical="center"/>
    </xf>
    <xf numFmtId="164" fontId="55" fillId="18" borderId="132" xfId="0" applyNumberFormat="1" applyFont="1" applyFill="1" applyBorder="1" applyAlignment="1">
      <alignment horizontal="center" vertical="center"/>
    </xf>
    <xf numFmtId="0" fontId="0" fillId="18" borderId="131" xfId="0" applyFill="1" applyBorder="1" applyAlignment="1">
      <alignment horizontal="center" vertical="center"/>
    </xf>
    <xf numFmtId="0" fontId="0" fillId="18" borderId="132" xfId="0" applyFill="1" applyBorder="1" applyAlignment="1">
      <alignment horizontal="center" vertical="center"/>
    </xf>
    <xf numFmtId="164" fontId="0" fillId="18" borderId="131" xfId="0" applyNumberFormat="1" applyFill="1" applyBorder="1" applyAlignment="1">
      <alignment horizontal="center" vertical="center"/>
    </xf>
    <xf numFmtId="164" fontId="0" fillId="18" borderId="132" xfId="0" applyNumberFormat="1" applyFill="1" applyBorder="1" applyAlignment="1">
      <alignment horizontal="center" vertical="center"/>
    </xf>
    <xf numFmtId="164" fontId="0" fillId="18" borderId="139" xfId="0" applyNumberFormat="1" applyFill="1" applyBorder="1" applyAlignment="1">
      <alignment horizontal="center" vertical="center"/>
    </xf>
    <xf numFmtId="164" fontId="0" fillId="18" borderId="140" xfId="0" applyNumberFormat="1" applyFill="1" applyBorder="1" applyAlignment="1">
      <alignment horizontal="center" vertical="center"/>
    </xf>
    <xf numFmtId="0" fontId="54" fillId="18" borderId="126" xfId="0" applyFont="1" applyFill="1" applyBorder="1" applyAlignment="1">
      <alignment horizontal="center" vertical="center"/>
    </xf>
    <xf numFmtId="0" fontId="54" fillId="18" borderId="127" xfId="0" applyFont="1" applyFill="1" applyBorder="1" applyAlignment="1">
      <alignment horizontal="center" vertical="center" textRotation="45"/>
    </xf>
    <xf numFmtId="0" fontId="54" fillId="18" borderId="128" xfId="0" applyFont="1" applyFill="1" applyBorder="1" applyAlignment="1">
      <alignment horizontal="center" vertical="center" textRotation="45"/>
    </xf>
    <xf numFmtId="0" fontId="56" fillId="18" borderId="194" xfId="0" applyFont="1" applyFill="1" applyBorder="1" applyAlignment="1">
      <alignment horizontal="center" vertical="center"/>
    </xf>
    <xf numFmtId="0" fontId="56" fillId="18" borderId="195" xfId="0" applyFont="1" applyFill="1" applyBorder="1" applyAlignment="1">
      <alignment horizontal="center" vertical="center"/>
    </xf>
    <xf numFmtId="0" fontId="0" fillId="18" borderId="129" xfId="0" applyFill="1" applyBorder="1" applyAlignment="1">
      <alignment horizontal="center" vertical="center"/>
    </xf>
    <xf numFmtId="0" fontId="0" fillId="18" borderId="130" xfId="0" applyFill="1" applyBorder="1" applyAlignment="1">
      <alignment horizontal="center" vertical="center"/>
    </xf>
    <xf numFmtId="0" fontId="23" fillId="6" borderId="68" xfId="0" applyFont="1" applyFill="1" applyBorder="1" applyAlignment="1" applyProtection="1">
      <alignment horizontal="center" vertical="center"/>
      <protection locked="0"/>
    </xf>
    <xf numFmtId="0" fontId="23" fillId="6" borderId="69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right" vertical="center"/>
      <protection locked="0"/>
    </xf>
    <xf numFmtId="0" fontId="8" fillId="2" borderId="4" xfId="0" applyFont="1" applyFill="1" applyBorder="1" applyAlignment="1" applyProtection="1">
      <alignment horizontal="center" vertical="center" wrapText="1"/>
      <protection locked="0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13" fillId="4" borderId="2" xfId="0" applyFont="1" applyFill="1" applyBorder="1" applyAlignment="1" applyProtection="1">
      <alignment horizontal="center" vertical="center"/>
      <protection locked="0"/>
    </xf>
    <xf numFmtId="0" fontId="51" fillId="4" borderId="2" xfId="0" quotePrefix="1" applyFont="1" applyFill="1" applyBorder="1" applyAlignment="1" applyProtection="1">
      <alignment horizontal="center" vertical="center"/>
      <protection locked="0"/>
    </xf>
    <xf numFmtId="0" fontId="51" fillId="4" borderId="5" xfId="0" quotePrefix="1" applyFont="1" applyFill="1" applyBorder="1" applyAlignment="1" applyProtection="1">
      <alignment horizontal="center" vertical="center"/>
      <protection locked="0"/>
    </xf>
    <xf numFmtId="164" fontId="14" fillId="4" borderId="1" xfId="0" applyNumberFormat="1" applyFont="1" applyFill="1" applyBorder="1" applyAlignment="1" applyProtection="1">
      <alignment horizontal="center" vertical="center"/>
      <protection locked="0"/>
    </xf>
    <xf numFmtId="164" fontId="14" fillId="4" borderId="2" xfId="0" applyNumberFormat="1" applyFont="1" applyFill="1" applyBorder="1" applyAlignment="1" applyProtection="1">
      <alignment horizontal="center" vertical="center"/>
      <protection locked="0"/>
    </xf>
    <xf numFmtId="164" fontId="14" fillId="4" borderId="5" xfId="0" applyNumberFormat="1" applyFont="1" applyFill="1" applyBorder="1" applyAlignment="1" applyProtection="1">
      <alignment horizontal="center" vertical="center"/>
      <protection locked="0"/>
    </xf>
    <xf numFmtId="164" fontId="15" fillId="4" borderId="9" xfId="0" applyNumberFormat="1" applyFont="1" applyFill="1" applyBorder="1" applyAlignment="1" applyProtection="1">
      <alignment horizontal="center" vertical="center" wrapText="1"/>
      <protection locked="0"/>
    </xf>
    <xf numFmtId="164" fontId="15" fillId="4" borderId="10" xfId="0" applyNumberFormat="1" applyFont="1" applyFill="1" applyBorder="1" applyAlignment="1" applyProtection="1">
      <alignment horizontal="center" vertical="center" wrapText="1"/>
      <protection locked="0"/>
    </xf>
    <xf numFmtId="164" fontId="15" fillId="4" borderId="11" xfId="0" applyNumberFormat="1" applyFont="1" applyFill="1" applyBorder="1" applyAlignment="1" applyProtection="1">
      <alignment horizontal="center" vertical="center" wrapText="1"/>
      <protection locked="0"/>
    </xf>
    <xf numFmtId="0" fontId="20" fillId="6" borderId="24" xfId="0" applyFont="1" applyFill="1" applyBorder="1" applyAlignment="1" applyProtection="1">
      <alignment horizontal="center" vertical="center" textRotation="45"/>
      <protection locked="0"/>
    </xf>
    <xf numFmtId="0" fontId="20" fillId="6" borderId="34" xfId="0" applyFont="1" applyFill="1" applyBorder="1" applyAlignment="1" applyProtection="1">
      <alignment horizontal="center" vertical="center" textRotation="45"/>
      <protection locked="0"/>
    </xf>
    <xf numFmtId="0" fontId="20" fillId="6" borderId="63" xfId="0" applyFont="1" applyFill="1" applyBorder="1" applyAlignment="1" applyProtection="1">
      <alignment horizontal="center" vertical="center" textRotation="45"/>
      <protection locked="0"/>
    </xf>
    <xf numFmtId="0" fontId="23" fillId="6" borderId="48" xfId="0" applyFont="1" applyFill="1" applyBorder="1" applyAlignment="1" applyProtection="1">
      <alignment horizontal="center" vertical="center"/>
      <protection locked="0"/>
    </xf>
    <xf numFmtId="0" fontId="23" fillId="6" borderId="49" xfId="0" applyFont="1" applyFill="1" applyBorder="1" applyAlignment="1" applyProtection="1">
      <alignment horizontal="center" vertical="center"/>
      <protection locked="0"/>
    </xf>
    <xf numFmtId="0" fontId="21" fillId="11" borderId="34" xfId="0" applyFont="1" applyFill="1" applyBorder="1" applyAlignment="1" applyProtection="1">
      <alignment horizontal="center" vertical="center" textRotation="45" wrapText="1"/>
      <protection locked="0"/>
    </xf>
    <xf numFmtId="0" fontId="21" fillId="11" borderId="63" xfId="0" applyFont="1" applyFill="1" applyBorder="1" applyAlignment="1" applyProtection="1">
      <alignment horizontal="center" vertical="center" textRotation="45" wrapText="1"/>
      <protection locked="0"/>
    </xf>
    <xf numFmtId="0" fontId="23" fillId="11" borderId="48" xfId="0" applyFont="1" applyFill="1" applyBorder="1" applyAlignment="1" applyProtection="1">
      <alignment horizontal="center" vertical="center"/>
      <protection locked="0"/>
    </xf>
    <xf numFmtId="0" fontId="23" fillId="11" borderId="49" xfId="0" applyFont="1" applyFill="1" applyBorder="1" applyAlignment="1" applyProtection="1">
      <alignment horizontal="center" vertical="center"/>
      <protection locked="0"/>
    </xf>
    <xf numFmtId="164" fontId="15" fillId="4" borderId="1" xfId="0" applyNumberFormat="1" applyFont="1" applyFill="1" applyBorder="1" applyAlignment="1" applyProtection="1">
      <alignment horizontal="center" vertical="center" wrapText="1"/>
      <protection locked="0"/>
    </xf>
    <xf numFmtId="164" fontId="15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23" fillId="16" borderId="48" xfId="0" applyFont="1" applyFill="1" applyBorder="1" applyAlignment="1" applyProtection="1">
      <alignment horizontal="center" vertical="center" wrapText="1"/>
      <protection locked="0"/>
    </xf>
    <xf numFmtId="0" fontId="23" fillId="16" borderId="93" xfId="0" applyFont="1" applyFill="1" applyBorder="1" applyAlignment="1" applyProtection="1">
      <alignment horizontal="center" vertical="center" wrapText="1"/>
      <protection locked="0"/>
    </xf>
    <xf numFmtId="0" fontId="23" fillId="17" borderId="154" xfId="0" applyFont="1" applyFill="1" applyBorder="1" applyAlignment="1" applyProtection="1">
      <alignment horizontal="center" vertical="center" textRotation="45"/>
      <protection locked="0"/>
    </xf>
    <xf numFmtId="0" fontId="23" fillId="17" borderId="63" xfId="0" applyFont="1" applyFill="1" applyBorder="1" applyAlignment="1" applyProtection="1">
      <alignment horizontal="center" vertical="center" textRotation="45"/>
      <protection locked="0"/>
    </xf>
    <xf numFmtId="0" fontId="23" fillId="17" borderId="48" xfId="0" applyFont="1" applyFill="1" applyBorder="1" applyAlignment="1" applyProtection="1">
      <alignment horizontal="center" vertical="center" wrapText="1"/>
      <protection locked="0"/>
    </xf>
    <xf numFmtId="0" fontId="23" fillId="17" borderId="93" xfId="0" applyFont="1" applyFill="1" applyBorder="1" applyAlignment="1" applyProtection="1">
      <alignment horizontal="center" vertical="center" wrapText="1"/>
      <protection locked="0"/>
    </xf>
    <xf numFmtId="0" fontId="23" fillId="14" borderId="24" xfId="0" applyFont="1" applyFill="1" applyBorder="1" applyAlignment="1" applyProtection="1">
      <alignment horizontal="center" vertical="center" textRotation="45"/>
      <protection locked="0"/>
    </xf>
    <xf numFmtId="0" fontId="23" fillId="14" borderId="63" xfId="0" applyFont="1" applyFill="1" applyBorder="1" applyAlignment="1" applyProtection="1">
      <alignment horizontal="center" vertical="center" textRotation="45"/>
      <protection locked="0"/>
    </xf>
    <xf numFmtId="0" fontId="21" fillId="14" borderId="143" xfId="0" applyFont="1" applyFill="1" applyBorder="1" applyAlignment="1" applyProtection="1">
      <alignment horizontal="center" vertical="center" wrapText="1"/>
      <protection locked="0"/>
    </xf>
    <xf numFmtId="0" fontId="21" fillId="14" borderId="65" xfId="0" applyFont="1" applyFill="1" applyBorder="1" applyAlignment="1" applyProtection="1">
      <alignment horizontal="center" vertical="center" wrapText="1"/>
      <protection locked="0"/>
    </xf>
    <xf numFmtId="0" fontId="23" fillId="14" borderId="48" xfId="0" applyFont="1" applyFill="1" applyBorder="1" applyAlignment="1" applyProtection="1">
      <alignment horizontal="center" vertical="center" wrapText="1"/>
      <protection locked="0"/>
    </xf>
    <xf numFmtId="0" fontId="23" fillId="14" borderId="93" xfId="0" applyFont="1" applyFill="1" applyBorder="1" applyAlignment="1" applyProtection="1">
      <alignment horizontal="center" vertical="center" wrapText="1"/>
      <protection locked="0"/>
    </xf>
    <xf numFmtId="0" fontId="23" fillId="15" borderId="196" xfId="0" applyFont="1" applyFill="1" applyBorder="1" applyAlignment="1" applyProtection="1">
      <alignment horizontal="center" vertical="center" textRotation="45"/>
      <protection locked="0"/>
    </xf>
    <xf numFmtId="0" fontId="23" fillId="15" borderId="197" xfId="0" applyFont="1" applyFill="1" applyBorder="1" applyAlignment="1" applyProtection="1">
      <alignment horizontal="center" vertical="center" textRotation="45"/>
      <protection locked="0"/>
    </xf>
    <xf numFmtId="0" fontId="23" fillId="15" borderId="48" xfId="0" applyFont="1" applyFill="1" applyBorder="1" applyAlignment="1" applyProtection="1">
      <alignment horizontal="center" vertical="center" wrapText="1"/>
      <protection locked="0"/>
    </xf>
    <xf numFmtId="0" fontId="23" fillId="15" borderId="93" xfId="0" applyFont="1" applyFill="1" applyBorder="1" applyAlignment="1" applyProtection="1">
      <alignment horizontal="center" vertical="center" wrapText="1"/>
      <protection locked="0"/>
    </xf>
    <xf numFmtId="0" fontId="23" fillId="16" borderId="24" xfId="0" applyFont="1" applyFill="1" applyBorder="1" applyAlignment="1" applyProtection="1">
      <alignment horizontal="center" vertical="center" textRotation="45" wrapText="1"/>
      <protection locked="0"/>
    </xf>
    <xf numFmtId="0" fontId="23" fillId="16" borderId="63" xfId="0" applyFont="1" applyFill="1" applyBorder="1" applyAlignment="1" applyProtection="1">
      <alignment horizontal="center" vertical="center" textRotation="45" wrapText="1"/>
      <protection locked="0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67">
    <dxf>
      <numFmt numFmtId="175" formatCode="m/d/yyyy;@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3" formatCode="0.0"/>
    </dxf>
    <dxf>
      <font>
        <b/>
        <i val="0"/>
        <color rgb="FFFFFF00"/>
      </font>
      <fill>
        <gradientFill type="path" left="0.5" right="0.5" top="0.5" bottom="0.5">
          <stop position="0">
            <color theme="4" tint="-0.25098422193060094"/>
          </stop>
          <stop position="1">
            <color theme="4"/>
          </stop>
        </gradientFill>
      </fill>
    </dxf>
    <dxf>
      <font>
        <color rgb="FFA7BCE3"/>
      </font>
    </dxf>
    <dxf>
      <font>
        <color rgb="FFA7BCE3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A7BCE3"/>
      </font>
    </dxf>
    <dxf>
      <font>
        <color rgb="FFA7BCE3"/>
      </font>
    </dxf>
    <dxf>
      <font>
        <color rgb="FF3964B1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3" formatCode="0.0"/>
    </dxf>
    <dxf>
      <font>
        <b/>
        <i val="0"/>
        <color rgb="FFFFFF00"/>
      </font>
      <fill>
        <gradientFill type="path" left="0.5" right="0.5" top="0.5" bottom="0.5">
          <stop position="0">
            <color theme="4" tint="-0.25098422193060094"/>
          </stop>
          <stop position="1">
            <color theme="4"/>
          </stop>
        </gradientFill>
      </fill>
    </dxf>
    <dxf>
      <font>
        <color rgb="FFA7BCE3"/>
      </font>
    </dxf>
    <dxf>
      <font>
        <color rgb="FFA7BCE3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A7BCE3"/>
      </font>
    </dxf>
    <dxf>
      <font>
        <color rgb="FFA7BCE3"/>
      </font>
    </dxf>
    <dxf>
      <font>
        <color rgb="FF3964B1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Estilo de tabla dinámica 1" table="0" count="0" xr9:uid="{CCB3E0C9-CD1F-446C-B527-608C02090815}"/>
  </tableStyles>
  <colors>
    <mruColors>
      <color rgb="FF99CCFF"/>
      <color rgb="FFFF9999"/>
      <color rgb="FF0099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81F5F.8553DE90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81F5F.8553DE90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142876</xdr:colOff>
      <xdr:row>0</xdr:row>
      <xdr:rowOff>83344</xdr:rowOff>
    </xdr:from>
    <xdr:to>
      <xdr:col>1</xdr:col>
      <xdr:colOff>2157413</xdr:colOff>
      <xdr:row>0</xdr:row>
      <xdr:rowOff>435769</xdr:rowOff>
    </xdr:to>
    <xdr:pic macro="[0]!VLookup">
      <xdr:nvPicPr>
        <xdr:cNvPr id="9" name="Picture 2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9651" y="83344"/>
          <a:ext cx="2014537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</xdr:colOff>
      <xdr:row>1</xdr:row>
      <xdr:rowOff>22412</xdr:rowOff>
    </xdr:from>
    <xdr:to>
      <xdr:col>5</xdr:col>
      <xdr:colOff>1333501</xdr:colOff>
      <xdr:row>1</xdr:row>
      <xdr:rowOff>347382</xdr:rowOff>
    </xdr:to>
    <xdr:sp macro="[0]!btnFechaSheet" textlink="">
      <xdr:nvSpPr>
        <xdr:cNvPr id="2" name="Rectángulo 1" descr="Calendar">
          <a:extLst>
            <a:ext uri="{FF2B5EF4-FFF2-40B4-BE49-F238E27FC236}">
              <a16:creationId xmlns:a16="http://schemas.microsoft.com/office/drawing/2014/main" id="{8541077B-DCF4-46B6-F951-B190D2754C23}"/>
            </a:ext>
          </a:extLst>
        </xdr:cNvPr>
        <xdr:cNvSpPr/>
      </xdr:nvSpPr>
      <xdr:spPr>
        <a:xfrm>
          <a:off x="5625354" y="493059"/>
          <a:ext cx="2487706" cy="324970"/>
        </a:xfrm>
        <a:prstGeom prst="rect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/>
            <a:t>Calendar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142876</xdr:colOff>
      <xdr:row>0</xdr:row>
      <xdr:rowOff>83344</xdr:rowOff>
    </xdr:from>
    <xdr:to>
      <xdr:col>1</xdr:col>
      <xdr:colOff>2157413</xdr:colOff>
      <xdr:row>0</xdr:row>
      <xdr:rowOff>435769</xdr:rowOff>
    </xdr:to>
    <xdr:pic macro="[0]!VLookup">
      <xdr:nvPicPr>
        <xdr:cNvPr id="2" name="Picture 2">
          <a:extLst>
            <a:ext uri="{FF2B5EF4-FFF2-40B4-BE49-F238E27FC236}">
              <a16:creationId xmlns:a16="http://schemas.microsoft.com/office/drawing/2014/main" id="{6D73CFBD-079E-4333-8897-8C629B76B3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776" y="83344"/>
          <a:ext cx="2014537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</xdr:colOff>
      <xdr:row>1</xdr:row>
      <xdr:rowOff>22412</xdr:rowOff>
    </xdr:from>
    <xdr:to>
      <xdr:col>5</xdr:col>
      <xdr:colOff>1333501</xdr:colOff>
      <xdr:row>1</xdr:row>
      <xdr:rowOff>347382</xdr:rowOff>
    </xdr:to>
    <xdr:sp macro="[0]!openYearFrm" textlink="">
      <xdr:nvSpPr>
        <xdr:cNvPr id="3" name="Rectángulo 2" descr="Calendar">
          <a:extLst>
            <a:ext uri="{FF2B5EF4-FFF2-40B4-BE49-F238E27FC236}">
              <a16:creationId xmlns:a16="http://schemas.microsoft.com/office/drawing/2014/main" id="{B1BB12EC-8118-43A6-99F2-B16017F3DA9A}"/>
            </a:ext>
          </a:extLst>
        </xdr:cNvPr>
        <xdr:cNvSpPr/>
      </xdr:nvSpPr>
      <xdr:spPr>
        <a:xfrm>
          <a:off x="5619751" y="489137"/>
          <a:ext cx="2486025" cy="324970"/>
        </a:xfrm>
        <a:prstGeom prst="rect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/>
            <a:t>Calendar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085354-9A31-4841-9D3F-0557A0CAEFA4}" name="DataInfo" displayName="DataInfo" ref="A1:AR6" totalsRowShown="0">
  <autoFilter ref="A1:AR6" xr:uid="{C4085354-9A31-4841-9D3F-0557A0CAEFA4}"/>
  <tableColumns count="44">
    <tableColumn id="1" xr3:uid="{AB8C8275-6CB6-4EE5-B34B-74201695B892}" name="jobNo"/>
    <tableColumn id="2" xr3:uid="{EA05DA88-F82C-4198-AA06-9F495BD21664}" name="ST Hours"/>
    <tableColumn id="3" xr3:uid="{C5E9C180-E9F2-48E0-AA76-E5D93E2D72E9}" name="OT Hours" dataDxfId="44"/>
    <tableColumn id="4" xr3:uid="{194B0742-9035-4269-B161-25195EB3E0B3}" name="Total Hours"/>
    <tableColumn id="5" xr3:uid="{E653B1DE-646C-405B-B655-FDB9CC09C01C}" name="Labor Cost" dataDxfId="43"/>
    <tableColumn id="6" xr3:uid="{CEF9ED9A-AE1B-4261-9368-A50ACEB10909}" name="Scaffold-ADD"/>
    <tableColumn id="7" xr3:uid="{D08D08AE-E628-4D0B-9CCA-12D93A07D90E}" name="3rd Party Cost" dataDxfId="42"/>
    <tableColumn id="8" xr3:uid="{1D12CB81-F7A1-4443-9918-DF6A76532B27}" name="In House Vehicles" dataDxfId="41"/>
    <tableColumn id="9" xr3:uid="{65A6BF84-CB48-4513-BD5E-90CADB842B4C}" name="Scaffold" dataDxfId="40"/>
    <tableColumn id="10" xr3:uid="{F0550329-4420-4C5D-A759-E4378EEFA4B9}" name="Company Equipment" dataDxfId="39"/>
    <tableColumn id="11" xr3:uid="{CDE068DB-BC7C-41ED-9FE7-81D518BA2213}" name="Material Cost" dataDxfId="38"/>
    <tableColumn id="12" xr3:uid="{0C9D88FC-D4DF-4281-BFB2-6CC3295F9A46}" name="Subcontract Cost" dataDxfId="37"/>
    <tableColumn id="13" xr3:uid="{04D734D8-01EB-4D99-A11E-3106D37E1FA3}" name="Tools" dataDxfId="36"/>
    <tableColumn id="14" xr3:uid="{5B9EB4F5-E323-4C86-984E-AAF2F4C4AB63}" name="Consumables" dataDxfId="35"/>
    <tableColumn id="15" xr3:uid="{068B9F28-39D0-4F1E-9618-28FD3320AE50}" name="Other Cost" dataDxfId="34"/>
    <tableColumn id="16" xr3:uid="{0AC060B6-C457-4A5A-8891-AAABBB08A494}" name="Other Revanue"/>
    <tableColumn id="17" xr3:uid="{98C98F59-C39A-4CA4-8C20-D370B24AF4B1}" name="FICA"/>
    <tableColumn id="18" xr3:uid="{6C3A9A41-B180-493C-A613-AF79100BCD76}" name="FUI"/>
    <tableColumn id="19" xr3:uid="{72AA16C8-E7BD-4470-8BB6-ACBD272424EB}" name="SUI"/>
    <tableColumn id="20" xr3:uid="{BE7F1AB4-CD70-4208-9EEF-383BAD12164F}" name="WC"/>
    <tableColumn id="21" xr3:uid="{A7EFE5C6-8B8A-45EC-97F6-CA5C87FD5013}" name="Gen Liab"/>
    <tableColumn id="22" xr3:uid="{A7971802-5AF5-4417-B624-A9DE60CCE7E6}" name="Umbr"/>
    <tableColumn id="23" xr3:uid="{3C830360-D346-4626-AE1D-923C3296DF2A}" name="Pollution"/>
    <tableColumn id="24" xr3:uid="{463D522D-996A-4152-86C4-EFC2CB0E41F2}" name="Healt"/>
    <tableColumn id="25" xr3:uid="{5BF69F96-BD8C-48CF-8ADA-CCEFCA1B0468}" name="Fringe"/>
    <tableColumn id="26" xr3:uid="{B98FD994-9F68-4498-A14C-EC347F9913CA}" name="Small"/>
    <tableColumn id="27" xr3:uid="{F644BB94-2E15-4F6D-B871-411E343F1BF9}" name="PPE"/>
    <tableColumn id="28" xr3:uid="{9DB5578F-7C98-41B1-AD01-96E42E70ED66}" name="Consumable"/>
    <tableColumn id="29" xr3:uid="{96BE9631-0736-4F6B-A01E-15FB11DE2AE1}" name="Overhead"/>
    <tableColumn id="30" xr3:uid="{76689BBE-F9B5-4628-A6BF-BB51B9A730BB}" name="Profit"/>
    <tableColumn id="31" xr3:uid="{28B241A0-260C-4ABC-8025-12048B6418DD}" name="FICA P"/>
    <tableColumn id="32" xr3:uid="{F55710B0-E531-4CA2-B3A0-5E6BB2CD7A56}" name="FUI P"/>
    <tableColumn id="33" xr3:uid="{88FACCA5-D76A-4D1D-BD5E-F526062858EA}" name="SUI P"/>
    <tableColumn id="34" xr3:uid="{6F0ED1CA-0C2D-4BDB-BE1C-5C0CA7E81E5D}" name="WC P"/>
    <tableColumn id="35" xr3:uid="{AA70887D-DB41-4333-831A-6913C70856E3}" name="Gen Liab P"/>
    <tableColumn id="36" xr3:uid="{4867B12F-3C0C-4DEE-AB8D-B1A2A43ADECB}" name="Umbr P"/>
    <tableColumn id="37" xr3:uid="{4EE3BD6D-A286-41F5-888A-73FDE42C1323}" name="Pollution P"/>
    <tableColumn id="38" xr3:uid="{292363A4-FC9C-4072-A525-BA39C9196D7B}" name="Healt P"/>
    <tableColumn id="39" xr3:uid="{639EDE43-55D7-4A70-9938-5333B661DF0C}" name="Fringe P"/>
    <tableColumn id="40" xr3:uid="{518F685A-75E7-4453-943D-2183F5DB84BD}" name="Small P"/>
    <tableColumn id="41" xr3:uid="{96846466-C91E-428B-B8CB-3023CA35FF2E}" name="PPE P"/>
    <tableColumn id="42" xr3:uid="{464DF65C-F352-472C-95DD-B16DED84E3D4}" name="Consumable P"/>
    <tableColumn id="43" xr3:uid="{726DBF14-D9C0-45D4-A8BE-C24CA9EAAA9D}" name="Overhead P"/>
    <tableColumn id="44" xr3:uid="{924A9D34-63F1-4AAF-84C7-314015D5DF17}" name="Profit P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8690FA-4A9D-402B-AB6A-7F591BA57658}" name="DataInfo2" displayName="DataInfo2" ref="A1:AR6" totalsRowShown="0">
  <autoFilter ref="A1:AR6" xr:uid="{C4085354-9A31-4841-9D3F-0557A0CAEFA4}"/>
  <tableColumns count="44">
    <tableColumn id="1" xr3:uid="{5B5F4004-8DD7-4902-BA9C-85C88A302451}" name="jobNo"/>
    <tableColumn id="2" xr3:uid="{F69BD3FC-F8B3-4F56-BDD5-B99C1DAAD75F}" name="ST Hours"/>
    <tableColumn id="3" xr3:uid="{B3A4D7E8-F146-4086-B453-953997DAAD94}" name="OT Hours" dataDxfId="11"/>
    <tableColumn id="4" xr3:uid="{6AE58ACB-A746-4D0A-BC5C-EBF0BE8DF522}" name="Total Hours"/>
    <tableColumn id="5" xr3:uid="{1C137BE3-160B-4FB8-8F73-1E1A72BECB2D}" name="Labor Cost" dataDxfId="10"/>
    <tableColumn id="6" xr3:uid="{5FE74E3E-F0EF-4433-ACED-46AAD65F8949}" name="Scaffold-ADD"/>
    <tableColumn id="7" xr3:uid="{CB38371D-5582-4D45-9B05-56700192F494}" name="3rd Party Cost" dataDxfId="9"/>
    <tableColumn id="8" xr3:uid="{4455DF1C-CFB3-41AD-B682-470EDE153A81}" name="In House Vehicles" dataDxfId="8"/>
    <tableColumn id="9" xr3:uid="{F23E0339-A1D9-4145-B153-DC619551FB83}" name="Scaffold" dataDxfId="7"/>
    <tableColumn id="10" xr3:uid="{C4E3F7BA-B06C-4EAF-98DC-A60EBEB26A13}" name="Company Equipment" dataDxfId="6"/>
    <tableColumn id="11" xr3:uid="{DBF724B1-6904-404C-9180-049CFA0F9EEE}" name="Material Cost" dataDxfId="5"/>
    <tableColumn id="12" xr3:uid="{3D82D424-6F5C-4054-9012-7B1EFE8D00DE}" name="Subcontract Cost" dataDxfId="4"/>
    <tableColumn id="13" xr3:uid="{65AC337E-C20F-4971-8D9F-3EC92A98C040}" name="Tools" dataDxfId="3"/>
    <tableColumn id="14" xr3:uid="{37CDCABF-A57B-4244-A768-A1DF1123CC9E}" name="Consumables" dataDxfId="2"/>
    <tableColumn id="15" xr3:uid="{379D6B74-6485-4C1E-AC4F-DBB99C212933}" name="Other Cost" dataDxfId="1"/>
    <tableColumn id="16" xr3:uid="{EE62488E-9A94-4ED3-B79E-E58DF50E31D8}" name="Other Revanue"/>
    <tableColumn id="17" xr3:uid="{E5DF8247-4253-430B-9498-209D0A48F141}" name="FICA"/>
    <tableColumn id="18" xr3:uid="{F16AA3CF-DAF6-48FA-AF62-30B68234F51E}" name="FUI"/>
    <tableColumn id="19" xr3:uid="{281D2E7A-0D73-4561-9EFC-7A45CB0B3993}" name="SUI"/>
    <tableColumn id="20" xr3:uid="{7CB6002A-4B4F-4B98-92F5-D41FDE66D992}" name="WC"/>
    <tableColumn id="21" xr3:uid="{572F2734-CEB0-4A59-8103-DB2F5D19948F}" name="Gen Liab"/>
    <tableColumn id="22" xr3:uid="{EFEAC13B-F6CE-4CE7-90B8-594DD1859768}" name="Umbr"/>
    <tableColumn id="23" xr3:uid="{46F82263-A9AC-4971-966F-CFB431B74BCF}" name="Pollution"/>
    <tableColumn id="24" xr3:uid="{225C99D1-E059-4F80-A8A4-629883CE2EEE}" name="Healt"/>
    <tableColumn id="25" xr3:uid="{CF1A3224-F0AA-4E8C-9D68-D9B566CC94AC}" name="Fringe"/>
    <tableColumn id="26" xr3:uid="{58053F6B-32A4-46EC-B363-0FB18CE8ECE8}" name="Small"/>
    <tableColumn id="27" xr3:uid="{07C112D4-CBCF-4B2F-82F1-4445872258FB}" name="PPE"/>
    <tableColumn id="28" xr3:uid="{331A3E0B-FC27-4C30-824F-1D1014DCB4BC}" name="Consumable"/>
    <tableColumn id="29" xr3:uid="{F83CC695-4E7A-407A-A407-50FD244F3EB7}" name="Overhead"/>
    <tableColumn id="30" xr3:uid="{FABA3576-AD12-4695-90C4-CDBC35B4CF32}" name="Profit"/>
    <tableColumn id="31" xr3:uid="{279E2844-5AE6-48A3-B830-5F6846884656}" name="FICA P"/>
    <tableColumn id="32" xr3:uid="{3F0F90C3-E877-4EFF-90BE-C65D0F20E8C6}" name="FUI P"/>
    <tableColumn id="33" xr3:uid="{D3894499-4A94-427F-83A1-3BE1D7CFE780}" name="SUI P"/>
    <tableColumn id="34" xr3:uid="{4C2E99B3-0D38-4F1F-81D3-38A8B4BDAB59}" name="WC P"/>
    <tableColumn id="35" xr3:uid="{7329223B-CEB1-462E-8BF4-8449E30DE940}" name="Gen Liab P"/>
    <tableColumn id="36" xr3:uid="{5079BA7A-C635-4190-ACE1-A585B1BCC3FF}" name="Umbr P"/>
    <tableColumn id="37" xr3:uid="{B697A466-4371-4222-9F51-E870FE866667}" name="Pollution P"/>
    <tableColumn id="38" xr3:uid="{BCC31244-E193-4FB8-9391-0473674D5F99}" name="Healt P"/>
    <tableColumn id="39" xr3:uid="{1FEC5269-A9EF-4F06-A876-E847EA353997}" name="Fringe P"/>
    <tableColumn id="40" xr3:uid="{EB1203EF-4BBE-47A0-8A47-E52C6E826D0A}" name="Small P"/>
    <tableColumn id="41" xr3:uid="{984BA335-9D49-4EC5-B39F-598063E72B85}" name="PPE P"/>
    <tableColumn id="42" xr3:uid="{FF446FCB-F070-4C46-803F-3BC4B7AD3762}" name="Consumable P"/>
    <tableColumn id="43" xr3:uid="{5D813A09-0A3F-492D-9834-BA9D1D4EBCD3}" name="Overhead P"/>
    <tableColumn id="44" xr3:uid="{CF8B7DF7-71D6-45CE-BD18-B2A46848D234}" name="Profit P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E7F84F-FC0D-4C6D-AEE2-0C0A82CF605E}" name="DataMaterialInfo" displayName="DataMaterialInfo" ref="A1:G11" totalsRowShown="0">
  <autoFilter ref="A1:G11" xr:uid="{37E7F84F-FC0D-4C6D-AEE2-0C0A82CF605E}"/>
  <tableColumns count="7">
    <tableColumn id="1" xr3:uid="{453CDF7D-A791-4B1D-AA56-A59D744F022B}" name="jobNo"/>
    <tableColumn id="2" xr3:uid="{8166E639-7A6B-401F-8232-AFB7727CDC11}" name="Code"/>
    <tableColumn id="3" xr3:uid="{1A3D4A20-FF8C-4D3E-A636-ABB1A3A5FCEB}" name="Material Name"/>
    <tableColumn id="4" xr3:uid="{B24E37A6-3589-4E18-9BB3-5A6C578DFD93}" name="Description"/>
    <tableColumn id="5" xr3:uid="{89641EA4-DC85-4487-A1F3-4C14A4486144}" name="Cost"/>
    <tableColumn id="6" xr3:uid="{9CA735D5-C6AF-46E5-A8B7-5811AE2072B1}" name="Date" dataDxfId="0"/>
    <tableColumn id="9" xr3:uid="{EE83BD2F-016B-4967-8BA3-49C2F0990718}" name="Type Materi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07201-B509-4F0E-A156-10E374CFFB30}">
  <sheetPr codeName="Sheet126">
    <pageSetUpPr fitToPage="1"/>
  </sheetPr>
  <dimension ref="A1:R294"/>
  <sheetViews>
    <sheetView zoomScale="85" zoomScaleNormal="85" workbookViewId="0">
      <pane xSplit="2" ySplit="4" topLeftCell="C38" activePane="bottomRight" state="frozen"/>
      <selection activeCell="D9" sqref="D9"/>
      <selection pane="topRight" activeCell="D9" sqref="D9"/>
      <selection pane="bottomLeft" activeCell="D9" sqref="D9"/>
      <selection pane="bottomRight" activeCell="F43" sqref="F43"/>
    </sheetView>
  </sheetViews>
  <sheetFormatPr defaultColWidth="9.140625" defaultRowHeight="15" outlineLevelCol="1" x14ac:dyDescent="0.25"/>
  <cols>
    <col min="1" max="1" width="16.5703125" style="29" customWidth="1"/>
    <col min="2" max="2" width="33.42578125" style="29" customWidth="1"/>
    <col min="3" max="3" width="17.85546875" style="29" bestFit="1" customWidth="1"/>
    <col min="4" max="4" width="16.42578125" style="29" customWidth="1"/>
    <col min="5" max="5" width="17.28515625" style="29" customWidth="1"/>
    <col min="6" max="6" width="20.28515625" style="29" customWidth="1"/>
    <col min="7" max="7" width="21.5703125" style="29" customWidth="1"/>
    <col min="8" max="8" width="20.140625" style="29" customWidth="1"/>
    <col min="9" max="9" width="19.140625" style="29" customWidth="1"/>
    <col min="10" max="10" width="17.42578125" style="29" customWidth="1"/>
    <col min="11" max="11" width="27.42578125" style="29" customWidth="1" outlineLevel="1"/>
    <col min="12" max="12" width="25.42578125" style="29" customWidth="1" outlineLevel="1"/>
    <col min="13" max="13" width="23.42578125" style="29" customWidth="1" outlineLevel="1"/>
    <col min="14" max="14" width="18" style="29" customWidth="1" outlineLevel="1"/>
    <col min="15" max="15" width="17.42578125" style="29" customWidth="1" outlineLevel="1"/>
    <col min="16" max="16" width="106.5703125" style="29" customWidth="1"/>
    <col min="17" max="16384" width="9.140625" style="29"/>
  </cols>
  <sheetData>
    <row r="1" spans="1:18" ht="36.75" customHeight="1" thickBot="1" x14ac:dyDescent="0.3">
      <c r="A1" s="25"/>
      <c r="B1" s="441"/>
      <c r="C1" s="441"/>
      <c r="D1" s="26" t="s">
        <v>44</v>
      </c>
      <c r="E1" s="27" t="str">
        <f>IF(AND(A2&lt;&gt;"*",F1),"Contract Break-Down Included", "")</f>
        <v/>
      </c>
      <c r="F1" s="1"/>
      <c r="G1" s="442"/>
      <c r="H1" s="442"/>
      <c r="I1" s="2"/>
      <c r="J1" s="2"/>
      <c r="K1" s="3"/>
      <c r="L1" s="3"/>
      <c r="M1" s="2"/>
      <c r="N1" s="4" t="b">
        <v>1</v>
      </c>
      <c r="O1" s="28"/>
    </row>
    <row r="2" spans="1:18" ht="30" customHeight="1" thickBot="1" x14ac:dyDescent="0.3">
      <c r="A2" s="30" t="s">
        <v>45</v>
      </c>
      <c r="B2" s="443" t="s">
        <v>97</v>
      </c>
      <c r="C2" s="444"/>
      <c r="D2" s="444"/>
      <c r="E2" s="445"/>
      <c r="F2" s="446"/>
      <c r="G2" s="447" t="s">
        <v>0</v>
      </c>
      <c r="H2" s="448"/>
      <c r="I2" s="449"/>
      <c r="J2" s="31" t="str">
        <f>IF(I1,"Over/Under
WIP Variance","")</f>
        <v/>
      </c>
      <c r="K2" s="462" t="s">
        <v>1</v>
      </c>
      <c r="L2" s="463"/>
      <c r="M2" s="450" t="s">
        <v>2</v>
      </c>
      <c r="N2" s="451"/>
      <c r="O2" s="452"/>
      <c r="P2" s="32"/>
      <c r="Q2" s="33"/>
      <c r="R2" s="33"/>
    </row>
    <row r="3" spans="1:18" ht="25.35" customHeight="1" thickBot="1" x14ac:dyDescent="0.3">
      <c r="A3" s="5"/>
      <c r="B3" s="22">
        <v>56403200</v>
      </c>
      <c r="C3" s="34"/>
      <c r="D3" s="34"/>
      <c r="E3" s="35" t="e">
        <v>#REF!</v>
      </c>
      <c r="F3" s="35"/>
      <c r="G3" s="36" t="e">
        <f>$G$5/$E$5</f>
        <v>#N/A</v>
      </c>
      <c r="H3" s="37">
        <v>0</v>
      </c>
      <c r="I3" s="38" t="e">
        <f>H3-G3</f>
        <v>#N/A</v>
      </c>
      <c r="J3" s="39" t="s">
        <v>44</v>
      </c>
      <c r="K3" s="40" t="e">
        <v>#REF!</v>
      </c>
      <c r="L3" s="41" t="e">
        <v>#REF!</v>
      </c>
      <c r="M3" s="42" t="e">
        <f>$L$5/$K$3</f>
        <v>#N/A</v>
      </c>
      <c r="N3" s="43">
        <v>0</v>
      </c>
      <c r="O3" s="6" t="e">
        <f>N3-M3</f>
        <v>#N/A</v>
      </c>
      <c r="P3" s="7"/>
      <c r="Q3" s="33"/>
      <c r="R3" s="33"/>
    </row>
    <row r="4" spans="1:18" ht="19.5" thickBot="1" x14ac:dyDescent="0.3">
      <c r="A4" s="44" t="s">
        <v>3</v>
      </c>
      <c r="B4" s="45" t="s">
        <v>4</v>
      </c>
      <c r="C4" s="46" t="s">
        <v>5</v>
      </c>
      <c r="D4" s="46" t="s">
        <v>6</v>
      </c>
      <c r="E4" s="47" t="s">
        <v>7</v>
      </c>
      <c r="F4" s="47" t="s">
        <v>8</v>
      </c>
      <c r="G4" s="45" t="s">
        <v>9</v>
      </c>
      <c r="H4" s="45" t="s">
        <v>10</v>
      </c>
      <c r="I4" s="48" t="s">
        <v>11</v>
      </c>
      <c r="J4" s="49" t="s">
        <v>12</v>
      </c>
      <c r="K4" s="50" t="s">
        <v>13</v>
      </c>
      <c r="L4" s="51" t="s">
        <v>14</v>
      </c>
      <c r="M4" s="51" t="s">
        <v>15</v>
      </c>
      <c r="N4" s="51" t="s">
        <v>16</v>
      </c>
      <c r="O4" s="51" t="s">
        <v>10</v>
      </c>
      <c r="P4" s="52" t="s">
        <v>17</v>
      </c>
    </row>
    <row r="5" spans="1:18" s="62" customFormat="1" ht="26.1" customHeight="1" x14ac:dyDescent="0.25">
      <c r="A5" s="453" t="s">
        <v>18</v>
      </c>
      <c r="B5" s="53" t="s">
        <v>18</v>
      </c>
      <c r="C5" s="292" t="e">
        <f>VLOOKUP(B3,DataInfo[[jobNo]:[ST Hours]],2,0)</f>
        <v>#N/A</v>
      </c>
      <c r="D5" s="292" t="e">
        <f>VLOOKUP(B3,DataInfo[[jobNo]:[OT Hours]],3,0)</f>
        <v>#N/A</v>
      </c>
      <c r="E5" s="293" t="e">
        <f>VLOOKUP(B3,DataInfo[[jobNo]:[Total Hours]],4,0)</f>
        <v>#N/A</v>
      </c>
      <c r="F5" s="283" t="e">
        <f>VLOOKUP(B3,DataInfo[[jobNo]:[Labor Cost]],5,0)</f>
        <v>#N/A</v>
      </c>
      <c r="G5" s="284" t="e">
        <f>VLOOKUP(B3,DataInfo[[jobNo]:[Total Hours]],4,0)</f>
        <v>#N/A</v>
      </c>
      <c r="H5" s="54">
        <f>IFERROR(F5-G5,0)</f>
        <v>0</v>
      </c>
      <c r="I5" s="55">
        <f>IFERROR(H5/$E$5,0)</f>
        <v>0</v>
      </c>
      <c r="J5" s="56"/>
      <c r="K5" s="57" t="e">
        <f>F5</f>
        <v>#N/A</v>
      </c>
      <c r="L5" s="58" t="e">
        <f>G5</f>
        <v>#N/A</v>
      </c>
      <c r="M5" s="59">
        <f>IFERROR(K5-L5,0)</f>
        <v>0</v>
      </c>
      <c r="N5" s="60">
        <f>IFERROR(M5/$E$3,0)</f>
        <v>0</v>
      </c>
      <c r="O5" s="61"/>
      <c r="P5" s="8"/>
    </row>
    <row r="6" spans="1:18" ht="26.1" customHeight="1" x14ac:dyDescent="0.25">
      <c r="A6" s="454"/>
      <c r="B6" s="63" t="s">
        <v>58</v>
      </c>
      <c r="C6" s="394" t="e">
        <f>HLOOKUP(B6,DataInfo[#All], MATCH(B3,DataInfo[jobNo],0)+1,FALSE)</f>
        <v>#N/A</v>
      </c>
      <c r="D6" s="394" t="e">
        <f>HLOOKUP("FICA P",DataInfo[#All], MATCH(B3,DataInfo[jobNo],0)+1,FALSE)</f>
        <v>#N/A</v>
      </c>
      <c r="E6" s="64"/>
      <c r="F6" s="9" t="e">
        <f>(C6*$C$5)+(D6*$D$5)</f>
        <v>#N/A</v>
      </c>
      <c r="G6" s="65"/>
      <c r="H6" s="66">
        <f t="shared" ref="H6:H26" si="0">IFERROR(F6-G6,0)</f>
        <v>0</v>
      </c>
      <c r="I6" s="67">
        <f t="shared" ref="I6:I25" si="1">IFERROR(H6/$E$26,0)</f>
        <v>0</v>
      </c>
      <c r="J6" s="68" t="e">
        <v>#REF!</v>
      </c>
      <c r="K6" s="69" t="e">
        <f>F6</f>
        <v>#N/A</v>
      </c>
      <c r="L6" s="70">
        <f>G6</f>
        <v>0</v>
      </c>
      <c r="M6" s="71">
        <f>IFERROR(K6-L6,0)</f>
        <v>0</v>
      </c>
      <c r="N6" s="72">
        <f>IFERROR(M6/$E$3,0)</f>
        <v>0</v>
      </c>
      <c r="O6" s="73"/>
      <c r="P6" s="10"/>
    </row>
    <row r="7" spans="1:18" ht="26.1" customHeight="1" x14ac:dyDescent="0.25">
      <c r="A7" s="454"/>
      <c r="B7" s="63" t="s">
        <v>59</v>
      </c>
      <c r="C7" s="394" t="e">
        <f>HLOOKUP(B7,DataInfo[#All], MATCH(B3,DataInfo[jobNo],0)+1,FALSE)</f>
        <v>#N/A</v>
      </c>
      <c r="D7" s="394" t="e">
        <f>HLOOKUP("FUI P",DataInfo[#All], MATCH(B3,DataInfo[jobNo],0)+1,FALSE)</f>
        <v>#N/A</v>
      </c>
      <c r="E7" s="74"/>
      <c r="F7" s="9" t="e">
        <f>(C7*$C$5)+(D7*$D$5)</f>
        <v>#N/A</v>
      </c>
      <c r="G7" s="65"/>
      <c r="H7" s="66">
        <f>IFERROR(F7-G7,0)</f>
        <v>0</v>
      </c>
      <c r="I7" s="67">
        <f>IFERROR(H7/$E$26,0)</f>
        <v>0</v>
      </c>
      <c r="J7" s="75"/>
      <c r="K7" s="69" t="e">
        <f>F7</f>
        <v>#N/A</v>
      </c>
      <c r="L7" s="70">
        <f t="shared" ref="L7:L25" si="2">G7</f>
        <v>0</v>
      </c>
      <c r="M7" s="71">
        <f>IFERROR(K7-L7,0)</f>
        <v>0</v>
      </c>
      <c r="N7" s="72">
        <f t="shared" ref="N7:N25" si="3">IFERROR(M7/$E$3,0)</f>
        <v>0</v>
      </c>
      <c r="O7" s="73"/>
      <c r="P7" s="10"/>
    </row>
    <row r="8" spans="1:18" ht="26.1" customHeight="1" x14ac:dyDescent="0.25">
      <c r="A8" s="454"/>
      <c r="B8" s="63" t="s">
        <v>60</v>
      </c>
      <c r="C8" s="394" t="e">
        <f>HLOOKUP(B8,DataInfo[#All], MATCH(B3,DataInfo[jobNo],0)+1,FALSE)</f>
        <v>#N/A</v>
      </c>
      <c r="D8" s="394" t="e">
        <f>HLOOKUP("SUI P",DataInfo[#All], MATCH(B3,DataInfo[jobNo],0)+1,FALSE)</f>
        <v>#N/A</v>
      </c>
      <c r="E8" s="76"/>
      <c r="F8" s="9" t="e">
        <f>(C8*$C$5)+(D8*$D$5)</f>
        <v>#N/A</v>
      </c>
      <c r="G8" s="65"/>
      <c r="H8" s="66">
        <f>IFERROR(F8-G8,0)</f>
        <v>0</v>
      </c>
      <c r="I8" s="67">
        <f t="shared" si="1"/>
        <v>0</v>
      </c>
      <c r="J8" s="75"/>
      <c r="K8" s="69" t="e">
        <f t="shared" ref="K8:K25" si="4">F8</f>
        <v>#N/A</v>
      </c>
      <c r="L8" s="70">
        <f t="shared" si="2"/>
        <v>0</v>
      </c>
      <c r="M8" s="71">
        <f t="shared" ref="M8:M25" si="5">IFERROR(K8-L8,0)</f>
        <v>0</v>
      </c>
      <c r="N8" s="72">
        <f t="shared" si="3"/>
        <v>0</v>
      </c>
      <c r="O8" s="73"/>
      <c r="P8" s="10"/>
    </row>
    <row r="9" spans="1:18" ht="30.75" customHeight="1" x14ac:dyDescent="0.25">
      <c r="A9" s="454"/>
      <c r="B9" s="77" t="s">
        <v>61</v>
      </c>
      <c r="C9" s="394" t="e">
        <f>HLOOKUP(B9,DataInfo[#All], MATCH(B3,DataInfo[jobNo],0)+1,FALSE)</f>
        <v>#N/A</v>
      </c>
      <c r="D9" s="394" t="e">
        <f>HLOOKUP("WC P",DataInfo[#All], MATCH(B3,DataInfo[jobNo],0)+1,FALSE)</f>
        <v>#N/A</v>
      </c>
      <c r="E9" s="76"/>
      <c r="F9" s="9" t="e">
        <f>(C9*$C$5)+(D9*$D$5)</f>
        <v>#N/A</v>
      </c>
      <c r="G9" s="65"/>
      <c r="H9" s="66">
        <f>IFERROR(F9-G9,0)</f>
        <v>0</v>
      </c>
      <c r="I9" s="67">
        <f t="shared" si="1"/>
        <v>0</v>
      </c>
      <c r="J9" s="75"/>
      <c r="K9" s="69" t="e">
        <f t="shared" si="4"/>
        <v>#N/A</v>
      </c>
      <c r="L9" s="70">
        <f t="shared" si="2"/>
        <v>0</v>
      </c>
      <c r="M9" s="71">
        <f t="shared" si="5"/>
        <v>0</v>
      </c>
      <c r="N9" s="72">
        <f t="shared" si="3"/>
        <v>0</v>
      </c>
      <c r="O9" s="73"/>
      <c r="P9" s="10"/>
    </row>
    <row r="10" spans="1:18" ht="26.1" customHeight="1" x14ac:dyDescent="0.25">
      <c r="A10" s="454"/>
      <c r="B10" s="77" t="s">
        <v>62</v>
      </c>
      <c r="C10" s="394" t="e">
        <f>HLOOKUP(B10,DataInfo[#All], MATCH(B3,DataInfo[jobNo],0)+1,FALSE)</f>
        <v>#N/A</v>
      </c>
      <c r="D10" s="394" t="e">
        <f>HLOOKUP("Gen Liab P",DataInfo[#All], MATCH(B3,DataInfo[jobNo],0)+1,FALSE)</f>
        <v>#N/A</v>
      </c>
      <c r="E10" s="76"/>
      <c r="F10" s="9" t="e">
        <f>(C10*$C$5)+(D10*$D$5)</f>
        <v>#N/A</v>
      </c>
      <c r="G10" s="65"/>
      <c r="H10" s="66">
        <f>IFERROR(F10-G10,0)</f>
        <v>0</v>
      </c>
      <c r="I10" s="67">
        <f t="shared" si="1"/>
        <v>0</v>
      </c>
      <c r="J10" s="75"/>
      <c r="K10" s="69" t="e">
        <f t="shared" si="4"/>
        <v>#N/A</v>
      </c>
      <c r="L10" s="70">
        <f t="shared" si="2"/>
        <v>0</v>
      </c>
      <c r="M10" s="71">
        <f t="shared" si="5"/>
        <v>0</v>
      </c>
      <c r="N10" s="72">
        <f t="shared" si="3"/>
        <v>0</v>
      </c>
      <c r="O10" s="73"/>
      <c r="P10" s="10"/>
    </row>
    <row r="11" spans="1:18" ht="26.1" customHeight="1" x14ac:dyDescent="0.25">
      <c r="A11" s="454"/>
      <c r="B11" s="63" t="s">
        <v>63</v>
      </c>
      <c r="C11" s="394" t="e">
        <f>HLOOKUP(B11,DataInfo[#All], MATCH(B3,DataInfo[jobNo],0)+1,FALSE)</f>
        <v>#N/A</v>
      </c>
      <c r="D11" s="394" t="e">
        <f>HLOOKUP("Umbr P",DataInfo[#All], MATCH(B3,DataInfo[jobNo],0)+1,FALSE)</f>
        <v>#N/A</v>
      </c>
      <c r="E11" s="76"/>
      <c r="F11" s="9" t="e">
        <f t="shared" ref="F11:F25" si="6">(C11*$C$5)+(D11*$D$5)</f>
        <v>#N/A</v>
      </c>
      <c r="G11" s="65"/>
      <c r="H11" s="66">
        <f t="shared" si="0"/>
        <v>0</v>
      </c>
      <c r="I11" s="67">
        <f t="shared" si="1"/>
        <v>0</v>
      </c>
      <c r="J11" s="75"/>
      <c r="K11" s="69" t="e">
        <f t="shared" si="4"/>
        <v>#N/A</v>
      </c>
      <c r="L11" s="70">
        <f t="shared" si="2"/>
        <v>0</v>
      </c>
      <c r="M11" s="71">
        <f t="shared" si="5"/>
        <v>0</v>
      </c>
      <c r="N11" s="72">
        <f t="shared" si="3"/>
        <v>0</v>
      </c>
      <c r="O11" s="73"/>
      <c r="P11" s="10"/>
    </row>
    <row r="12" spans="1:18" ht="26.1" customHeight="1" x14ac:dyDescent="0.25">
      <c r="A12" s="454"/>
      <c r="B12" s="63" t="s">
        <v>64</v>
      </c>
      <c r="C12" s="394" t="e">
        <f>HLOOKUP(B12,DataInfo[#All], MATCH(B3,DataInfo[jobNo],0)+1,FALSE)</f>
        <v>#N/A</v>
      </c>
      <c r="D12" s="394" t="e">
        <f>HLOOKUP("Pollution P",DataInfo[#All], MATCH(B3,DataInfo[jobNo],0)+1,FALSE)</f>
        <v>#N/A</v>
      </c>
      <c r="E12" s="76"/>
      <c r="F12" s="9" t="e">
        <f t="shared" si="6"/>
        <v>#N/A</v>
      </c>
      <c r="G12" s="65"/>
      <c r="H12" s="66">
        <f t="shared" si="0"/>
        <v>0</v>
      </c>
      <c r="I12" s="67">
        <f t="shared" si="1"/>
        <v>0</v>
      </c>
      <c r="J12" s="75"/>
      <c r="K12" s="69" t="e">
        <f t="shared" si="4"/>
        <v>#N/A</v>
      </c>
      <c r="L12" s="70">
        <f t="shared" si="2"/>
        <v>0</v>
      </c>
      <c r="M12" s="71">
        <f t="shared" si="5"/>
        <v>0</v>
      </c>
      <c r="N12" s="72">
        <f t="shared" si="3"/>
        <v>0</v>
      </c>
      <c r="O12" s="73"/>
      <c r="P12" s="10"/>
    </row>
    <row r="13" spans="1:18" ht="26.1" customHeight="1" x14ac:dyDescent="0.25">
      <c r="A13" s="454"/>
      <c r="B13" s="63" t="s">
        <v>65</v>
      </c>
      <c r="C13" s="394" t="e">
        <f>HLOOKUP(B13,DataInfo[#All], MATCH(B3,DataInfo[jobNo],0)+1,FALSE)</f>
        <v>#N/A</v>
      </c>
      <c r="D13" s="394" t="e">
        <f>HLOOKUP("Healt P",DataInfo[#All], MATCH(B3,DataInfo[jobNo],0)+1,FALSE)</f>
        <v>#N/A</v>
      </c>
      <c r="E13" s="76" t="s">
        <v>19</v>
      </c>
      <c r="F13" s="9" t="e">
        <f t="shared" si="6"/>
        <v>#N/A</v>
      </c>
      <c r="G13" s="65"/>
      <c r="H13" s="66">
        <f t="shared" si="0"/>
        <v>0</v>
      </c>
      <c r="I13" s="67">
        <f t="shared" si="1"/>
        <v>0</v>
      </c>
      <c r="J13" s="75"/>
      <c r="K13" s="69" t="e">
        <f t="shared" si="4"/>
        <v>#N/A</v>
      </c>
      <c r="L13" s="70">
        <f t="shared" si="2"/>
        <v>0</v>
      </c>
      <c r="M13" s="71">
        <f t="shared" si="5"/>
        <v>0</v>
      </c>
      <c r="N13" s="72">
        <f t="shared" si="3"/>
        <v>0</v>
      </c>
      <c r="O13" s="73"/>
      <c r="P13" s="10"/>
    </row>
    <row r="14" spans="1:18" ht="26.1" customHeight="1" x14ac:dyDescent="0.25">
      <c r="A14" s="454"/>
      <c r="B14" s="63" t="s">
        <v>66</v>
      </c>
      <c r="C14" s="394" t="e">
        <f>HLOOKUP(B14,DataInfo[#All], MATCH(B3,DataInfo[jobNo],0)+1,FALSE)</f>
        <v>#N/A</v>
      </c>
      <c r="D14" s="394" t="e">
        <f>HLOOKUP("Fringe P",DataInfo[#All], MATCH(B3,DataInfo[jobNo],0)+1,FALSE)</f>
        <v>#N/A</v>
      </c>
      <c r="E14" s="78"/>
      <c r="F14" s="9" t="e">
        <f t="shared" si="6"/>
        <v>#N/A</v>
      </c>
      <c r="G14" s="65"/>
      <c r="H14" s="66">
        <f t="shared" si="0"/>
        <v>0</v>
      </c>
      <c r="I14" s="67">
        <f t="shared" si="1"/>
        <v>0</v>
      </c>
      <c r="J14" s="75"/>
      <c r="K14" s="69" t="e">
        <f t="shared" si="4"/>
        <v>#N/A</v>
      </c>
      <c r="L14" s="70">
        <f t="shared" si="2"/>
        <v>0</v>
      </c>
      <c r="M14" s="71">
        <f t="shared" si="5"/>
        <v>0</v>
      </c>
      <c r="N14" s="72">
        <f t="shared" si="3"/>
        <v>0</v>
      </c>
      <c r="O14" s="73"/>
      <c r="P14" s="10"/>
    </row>
    <row r="15" spans="1:18" ht="26.1" customHeight="1" x14ac:dyDescent="0.25">
      <c r="A15" s="454"/>
      <c r="B15" s="63" t="s">
        <v>67</v>
      </c>
      <c r="C15" s="394" t="e">
        <f>HLOOKUP(B15,DataInfo[#All], MATCH(B3,DataInfo[jobNo],0)+1,FALSE)</f>
        <v>#N/A</v>
      </c>
      <c r="D15" s="394" t="e">
        <f>HLOOKUP("Small P",DataInfo[#All], MATCH(B3,DataInfo[jobNo],0)+1,FALSE)</f>
        <v>#N/A</v>
      </c>
      <c r="E15" s="76"/>
      <c r="F15" s="9" t="e">
        <f t="shared" si="6"/>
        <v>#N/A</v>
      </c>
      <c r="G15" s="65"/>
      <c r="H15" s="66">
        <f t="shared" si="0"/>
        <v>0</v>
      </c>
      <c r="I15" s="67">
        <f t="shared" si="1"/>
        <v>0</v>
      </c>
      <c r="J15" s="75"/>
      <c r="K15" s="69" t="e">
        <f t="shared" si="4"/>
        <v>#N/A</v>
      </c>
      <c r="L15" s="70">
        <f t="shared" si="2"/>
        <v>0</v>
      </c>
      <c r="M15" s="71">
        <f t="shared" si="5"/>
        <v>0</v>
      </c>
      <c r="N15" s="72">
        <f t="shared" si="3"/>
        <v>0</v>
      </c>
      <c r="O15" s="73"/>
      <c r="P15" s="10"/>
    </row>
    <row r="16" spans="1:18" ht="26.1" customHeight="1" x14ac:dyDescent="0.25">
      <c r="A16" s="454"/>
      <c r="B16" s="63" t="s">
        <v>68</v>
      </c>
      <c r="C16" s="394" t="e">
        <f>HLOOKUP(B16,DataInfo[#All], MATCH(B3,DataInfo[jobNo],0)+1,FALSE)</f>
        <v>#N/A</v>
      </c>
      <c r="D16" s="394" t="e">
        <f>HLOOKUP("PPE P",DataInfo[#All], MATCH(B3,DataInfo[jobNo],0)+1,FALSE)</f>
        <v>#N/A</v>
      </c>
      <c r="E16" s="76" t="s">
        <v>19</v>
      </c>
      <c r="F16" s="9" t="e">
        <f t="shared" si="6"/>
        <v>#N/A</v>
      </c>
      <c r="G16" s="65"/>
      <c r="H16" s="66">
        <f t="shared" si="0"/>
        <v>0</v>
      </c>
      <c r="I16" s="67">
        <f t="shared" si="1"/>
        <v>0</v>
      </c>
      <c r="J16" s="75"/>
      <c r="K16" s="69" t="e">
        <f t="shared" si="4"/>
        <v>#N/A</v>
      </c>
      <c r="L16" s="70">
        <f t="shared" si="2"/>
        <v>0</v>
      </c>
      <c r="M16" s="71">
        <f t="shared" si="5"/>
        <v>0</v>
      </c>
      <c r="N16" s="72">
        <f t="shared" si="3"/>
        <v>0</v>
      </c>
      <c r="O16" s="73"/>
      <c r="P16" s="11"/>
    </row>
    <row r="17" spans="1:16" ht="26.1" customHeight="1" x14ac:dyDescent="0.25">
      <c r="A17" s="454"/>
      <c r="B17" s="63" t="s">
        <v>69</v>
      </c>
      <c r="C17" s="394" t="e">
        <f>HLOOKUP(B17,DataInfo[#All], MATCH(B3,DataInfo[jobNo],0)+1,FALSE)</f>
        <v>#N/A</v>
      </c>
      <c r="D17" s="394" t="e">
        <f>HLOOKUP("Consumable P",DataInfo[#All], MATCH(B3,DataInfo[jobNo],0)+1,FALSE)</f>
        <v>#N/A</v>
      </c>
      <c r="E17" s="76" t="s">
        <v>19</v>
      </c>
      <c r="F17" s="9" t="e">
        <f t="shared" si="6"/>
        <v>#N/A</v>
      </c>
      <c r="G17" s="65"/>
      <c r="H17" s="66">
        <f t="shared" si="0"/>
        <v>0</v>
      </c>
      <c r="I17" s="67">
        <f t="shared" si="1"/>
        <v>0</v>
      </c>
      <c r="J17" s="75"/>
      <c r="K17" s="69" t="e">
        <f t="shared" si="4"/>
        <v>#N/A</v>
      </c>
      <c r="L17" s="70">
        <f t="shared" si="2"/>
        <v>0</v>
      </c>
      <c r="M17" s="71">
        <f t="shared" si="5"/>
        <v>0</v>
      </c>
      <c r="N17" s="72">
        <f t="shared" si="3"/>
        <v>0</v>
      </c>
      <c r="O17" s="73"/>
      <c r="P17" s="11"/>
    </row>
    <row r="18" spans="1:16" ht="26.1" customHeight="1" x14ac:dyDescent="0.25">
      <c r="A18" s="454"/>
      <c r="B18" s="63" t="s">
        <v>22</v>
      </c>
      <c r="C18" s="394" t="e">
        <f>HLOOKUP(B18,DataInfo[#All], MATCH(B3,DataInfo[jobNo],0)+1,FALSE)</f>
        <v>#N/A</v>
      </c>
      <c r="D18" s="394" t="e">
        <f>HLOOKUP("Overhead P",DataInfo[#All], MATCH(B3,DataInfo[jobNo],0)+1,FALSE)</f>
        <v>#N/A</v>
      </c>
      <c r="E18" s="76" t="s">
        <v>19</v>
      </c>
      <c r="F18" s="9" t="e">
        <f t="shared" si="6"/>
        <v>#N/A</v>
      </c>
      <c r="G18" s="65"/>
      <c r="H18" s="66">
        <f t="shared" si="0"/>
        <v>0</v>
      </c>
      <c r="I18" s="67">
        <f t="shared" si="1"/>
        <v>0</v>
      </c>
      <c r="J18" s="75"/>
      <c r="K18" s="69" t="e">
        <f t="shared" si="4"/>
        <v>#N/A</v>
      </c>
      <c r="L18" s="70">
        <f t="shared" si="2"/>
        <v>0</v>
      </c>
      <c r="M18" s="71">
        <f t="shared" si="5"/>
        <v>0</v>
      </c>
      <c r="N18" s="72">
        <f t="shared" si="3"/>
        <v>0</v>
      </c>
      <c r="O18" s="73"/>
      <c r="P18" s="11"/>
    </row>
    <row r="19" spans="1:16" ht="26.1" customHeight="1" x14ac:dyDescent="0.25">
      <c r="A19" s="454"/>
      <c r="B19" s="63" t="s">
        <v>23</v>
      </c>
      <c r="C19" s="394" t="e">
        <f>HLOOKUP(B19,DataInfo[#All], MATCH(B3,DataInfo[jobNo],0)+1,FALSE)</f>
        <v>#N/A</v>
      </c>
      <c r="D19" s="394" t="e">
        <f>HLOOKUP("Profit P",DataInfo[#All], MATCH(B3,DataInfo[jobNo],0)+1,FALSE)</f>
        <v>#N/A</v>
      </c>
      <c r="E19" s="76" t="s">
        <v>19</v>
      </c>
      <c r="F19" s="9" t="e">
        <f t="shared" si="6"/>
        <v>#N/A</v>
      </c>
      <c r="G19" s="65"/>
      <c r="H19" s="66">
        <f t="shared" si="0"/>
        <v>0</v>
      </c>
      <c r="I19" s="79">
        <f>IFERROR(H19/$E$26,0)</f>
        <v>0</v>
      </c>
      <c r="J19" s="75"/>
      <c r="K19" s="69" t="e">
        <f>F19</f>
        <v>#N/A</v>
      </c>
      <c r="L19" s="70">
        <f t="shared" si="2"/>
        <v>0</v>
      </c>
      <c r="M19" s="71">
        <f t="shared" si="5"/>
        <v>0</v>
      </c>
      <c r="N19" s="72">
        <f t="shared" si="3"/>
        <v>0</v>
      </c>
      <c r="O19" s="73"/>
      <c r="P19" s="11"/>
    </row>
    <row r="20" spans="1:16" ht="26.1" customHeight="1" x14ac:dyDescent="0.25">
      <c r="A20" s="454"/>
      <c r="B20" s="63"/>
      <c r="C20" s="394"/>
      <c r="D20" s="394"/>
      <c r="E20" s="76"/>
      <c r="F20" s="9" t="e">
        <f>(C20*$C$5)+(D20*$D$5)</f>
        <v>#N/A</v>
      </c>
      <c r="G20" s="65"/>
      <c r="H20" s="66">
        <f t="shared" si="0"/>
        <v>0</v>
      </c>
      <c r="I20" s="67">
        <f t="shared" si="1"/>
        <v>0</v>
      </c>
      <c r="J20" s="75"/>
      <c r="K20" s="69" t="e">
        <f t="shared" si="4"/>
        <v>#N/A</v>
      </c>
      <c r="L20" s="70">
        <f t="shared" si="2"/>
        <v>0</v>
      </c>
      <c r="M20" s="71">
        <f t="shared" si="5"/>
        <v>0</v>
      </c>
      <c r="N20" s="72">
        <f t="shared" si="3"/>
        <v>0</v>
      </c>
      <c r="O20" s="73"/>
      <c r="P20" s="11"/>
    </row>
    <row r="21" spans="1:16" ht="26.1" customHeight="1" x14ac:dyDescent="0.25">
      <c r="A21" s="454"/>
      <c r="B21" s="80"/>
      <c r="C21" s="394"/>
      <c r="D21" s="394"/>
      <c r="E21" s="76"/>
      <c r="F21" s="9" t="e">
        <f>(C21*$C$5)+(D21*$D$5)</f>
        <v>#N/A</v>
      </c>
      <c r="G21" s="65"/>
      <c r="H21" s="66">
        <f t="shared" si="0"/>
        <v>0</v>
      </c>
      <c r="I21" s="67">
        <f t="shared" si="1"/>
        <v>0</v>
      </c>
      <c r="J21" s="75"/>
      <c r="K21" s="69" t="e">
        <f t="shared" si="4"/>
        <v>#N/A</v>
      </c>
      <c r="L21" s="70">
        <f t="shared" si="2"/>
        <v>0</v>
      </c>
      <c r="M21" s="71">
        <f t="shared" si="5"/>
        <v>0</v>
      </c>
      <c r="N21" s="72">
        <f t="shared" si="3"/>
        <v>0</v>
      </c>
      <c r="O21" s="73"/>
      <c r="P21" s="11"/>
    </row>
    <row r="22" spans="1:16" ht="26.1" customHeight="1" x14ac:dyDescent="0.25">
      <c r="A22" s="454"/>
      <c r="B22" s="80"/>
      <c r="C22" s="394"/>
      <c r="D22" s="394"/>
      <c r="E22" s="76"/>
      <c r="F22" s="9" t="e">
        <f>(C22*$C$5)+(D22*$D$5)</f>
        <v>#N/A</v>
      </c>
      <c r="G22" s="65"/>
      <c r="H22" s="66">
        <f t="shared" si="0"/>
        <v>0</v>
      </c>
      <c r="I22" s="67">
        <f t="shared" si="1"/>
        <v>0</v>
      </c>
      <c r="J22" s="75"/>
      <c r="K22" s="69" t="e">
        <f t="shared" si="4"/>
        <v>#N/A</v>
      </c>
      <c r="L22" s="70">
        <f t="shared" si="2"/>
        <v>0</v>
      </c>
      <c r="M22" s="71">
        <f t="shared" si="5"/>
        <v>0</v>
      </c>
      <c r="N22" s="72">
        <f t="shared" si="3"/>
        <v>0</v>
      </c>
      <c r="O22" s="73"/>
      <c r="P22" s="11"/>
    </row>
    <row r="23" spans="1:16" ht="26.1" customHeight="1" x14ac:dyDescent="0.25">
      <c r="A23" s="454"/>
      <c r="B23" s="80"/>
      <c r="C23" s="395"/>
      <c r="D23" s="395"/>
      <c r="E23" s="76"/>
      <c r="F23" s="9" t="e">
        <f t="shared" si="6"/>
        <v>#N/A</v>
      </c>
      <c r="G23" s="65"/>
      <c r="H23" s="66">
        <f t="shared" si="0"/>
        <v>0</v>
      </c>
      <c r="I23" s="67">
        <f t="shared" si="1"/>
        <v>0</v>
      </c>
      <c r="J23" s="75"/>
      <c r="K23" s="69" t="e">
        <f t="shared" si="4"/>
        <v>#N/A</v>
      </c>
      <c r="L23" s="70">
        <f t="shared" si="2"/>
        <v>0</v>
      </c>
      <c r="M23" s="71"/>
      <c r="N23" s="72"/>
      <c r="O23" s="73"/>
      <c r="P23" s="11"/>
    </row>
    <row r="24" spans="1:16" ht="26.1" customHeight="1" x14ac:dyDescent="0.25">
      <c r="A24" s="454"/>
      <c r="B24" s="80"/>
      <c r="C24" s="395"/>
      <c r="D24" s="395"/>
      <c r="E24" s="76"/>
      <c r="F24" s="9" t="e">
        <f t="shared" si="6"/>
        <v>#N/A</v>
      </c>
      <c r="G24" s="65"/>
      <c r="H24" s="66">
        <f t="shared" si="0"/>
        <v>0</v>
      </c>
      <c r="I24" s="67">
        <f t="shared" si="1"/>
        <v>0</v>
      </c>
      <c r="J24" s="75"/>
      <c r="K24" s="69" t="e">
        <f t="shared" si="4"/>
        <v>#N/A</v>
      </c>
      <c r="L24" s="70">
        <f>G24</f>
        <v>0</v>
      </c>
      <c r="M24" s="71">
        <f t="shared" si="5"/>
        <v>0</v>
      </c>
      <c r="N24" s="72">
        <f t="shared" si="3"/>
        <v>0</v>
      </c>
      <c r="O24" s="73"/>
      <c r="P24" s="11"/>
    </row>
    <row r="25" spans="1:16" ht="21.75" customHeight="1" thickBot="1" x14ac:dyDescent="0.3">
      <c r="A25" s="455"/>
      <c r="B25" s="80"/>
      <c r="C25" s="395"/>
      <c r="D25" s="396"/>
      <c r="E25" s="76"/>
      <c r="F25" s="9" t="e">
        <f t="shared" si="6"/>
        <v>#N/A</v>
      </c>
      <c r="G25" s="65"/>
      <c r="H25" s="66">
        <f t="shared" si="0"/>
        <v>0</v>
      </c>
      <c r="I25" s="67">
        <f t="shared" si="1"/>
        <v>0</v>
      </c>
      <c r="J25" s="81"/>
      <c r="K25" s="69" t="e">
        <f t="shared" si="4"/>
        <v>#N/A</v>
      </c>
      <c r="L25" s="70">
        <f t="shared" si="2"/>
        <v>0</v>
      </c>
      <c r="M25" s="71">
        <f t="shared" si="5"/>
        <v>0</v>
      </c>
      <c r="N25" s="72">
        <f t="shared" si="3"/>
        <v>0</v>
      </c>
      <c r="O25" s="82"/>
      <c r="P25" s="11"/>
    </row>
    <row r="26" spans="1:16" ht="25.35" customHeight="1" thickTop="1" thickBot="1" x14ac:dyDescent="0.35">
      <c r="A26" s="456" t="s">
        <v>24</v>
      </c>
      <c r="B26" s="457"/>
      <c r="C26" s="83" t="e">
        <f>SUM(PRODUCT(SUM(C6:C25),$G$3),$G$3)</f>
        <v>#N/A</v>
      </c>
      <c r="D26" s="84" t="e">
        <f>SUM(PRODUCT(SUM(D6:D25),$G$3),$H$3)</f>
        <v>#N/A</v>
      </c>
      <c r="E26" s="85" t="e">
        <f>SUM(E5:E25)</f>
        <v>#N/A</v>
      </c>
      <c r="F26" s="86">
        <f>IFERROR(SUM(F5:F25),0)</f>
        <v>0</v>
      </c>
      <c r="G26" s="86" t="e">
        <f>SUM(G5:G23)</f>
        <v>#N/A</v>
      </c>
      <c r="H26" s="87">
        <f t="shared" si="0"/>
        <v>0</v>
      </c>
      <c r="I26" s="88">
        <f>IFERROR(H26/$E$58,0)</f>
        <v>0</v>
      </c>
      <c r="J26" s="89">
        <f>IFERROR(H26/F26,0)</f>
        <v>0</v>
      </c>
      <c r="K26" s="90" t="e">
        <f>SUM(K5:K25)</f>
        <v>#N/A</v>
      </c>
      <c r="L26" s="91" t="e">
        <f>SUM(L5:L23)</f>
        <v>#N/A</v>
      </c>
      <c r="M26" s="92">
        <f>IFERROR(K26-L26,0)</f>
        <v>0</v>
      </c>
      <c r="N26" s="93">
        <f>IFERROR(M26/K26,0)</f>
        <v>0</v>
      </c>
      <c r="O26" s="94">
        <f>IFERROR(M26/K26,0)</f>
        <v>0</v>
      </c>
      <c r="P26" s="12"/>
    </row>
    <row r="27" spans="1:16" ht="5.25" customHeight="1" x14ac:dyDescent="0.3">
      <c r="A27" s="95"/>
      <c r="B27" s="96"/>
      <c r="C27" s="96"/>
      <c r="D27" s="96"/>
      <c r="E27" s="97"/>
      <c r="F27" s="97"/>
      <c r="G27" s="98"/>
      <c r="H27" s="99"/>
      <c r="I27" s="100"/>
      <c r="J27" s="101"/>
      <c r="K27" s="102"/>
      <c r="L27" s="103"/>
      <c r="M27" s="104"/>
      <c r="N27" s="105"/>
      <c r="O27" s="106"/>
      <c r="P27" s="12"/>
    </row>
    <row r="28" spans="1:16" ht="67.349999999999994" customHeight="1" thickBot="1" x14ac:dyDescent="0.35">
      <c r="A28" s="458" t="s">
        <v>25</v>
      </c>
      <c r="B28" s="107" t="s">
        <v>18</v>
      </c>
      <c r="C28" s="107"/>
      <c r="D28" s="107"/>
      <c r="E28" s="108"/>
      <c r="F28" s="109" t="e">
        <f>VLOOKUP(B3,DataInfo[[jobNo]:[Subcontract Cost]],12,0)</f>
        <v>#N/A</v>
      </c>
      <c r="G28" s="109"/>
      <c r="H28" s="110">
        <f>IFERROR(F28-G28,0)</f>
        <v>0</v>
      </c>
      <c r="I28" s="111">
        <f>IFERROR(H28/$E$30,0)</f>
        <v>0</v>
      </c>
      <c r="J28" s="13" t="s">
        <v>19</v>
      </c>
      <c r="K28" s="112"/>
      <c r="L28" s="113"/>
      <c r="M28" s="114">
        <f>IFERROR(K28-L28,0)</f>
        <v>0</v>
      </c>
      <c r="N28" s="115">
        <f>IFERROR(M28/$E$3,0)</f>
        <v>0</v>
      </c>
      <c r="O28" s="14" t="s">
        <v>19</v>
      </c>
      <c r="P28" s="11"/>
    </row>
    <row r="29" spans="1:16" ht="2.25" customHeight="1" thickTop="1" thickBot="1" x14ac:dyDescent="0.35">
      <c r="A29" s="459"/>
      <c r="B29" s="116"/>
      <c r="C29" s="117"/>
      <c r="D29" s="117"/>
      <c r="E29" s="118"/>
      <c r="F29" s="119"/>
      <c r="G29" s="119"/>
      <c r="H29" s="120"/>
      <c r="I29" s="121"/>
      <c r="J29" s="13"/>
      <c r="K29" s="122"/>
      <c r="L29" s="123"/>
      <c r="M29" s="124"/>
      <c r="N29" s="125"/>
      <c r="O29" s="15"/>
      <c r="P29" s="11"/>
    </row>
    <row r="30" spans="1:16" ht="25.35" customHeight="1" thickTop="1" thickBot="1" x14ac:dyDescent="0.35">
      <c r="A30" s="460" t="s">
        <v>26</v>
      </c>
      <c r="B30" s="461"/>
      <c r="C30" s="290"/>
      <c r="D30" s="290"/>
      <c r="E30" s="126">
        <f>SUM(E28)</f>
        <v>0</v>
      </c>
      <c r="F30" s="127" t="e">
        <f>SUM(F28:F29)</f>
        <v>#N/A</v>
      </c>
      <c r="G30" s="127">
        <f>SUM(G28:G29)</f>
        <v>0</v>
      </c>
      <c r="H30" s="128">
        <f>IFERROR(F30-G30,0)</f>
        <v>0</v>
      </c>
      <c r="I30" s="129">
        <f>IFERROR(H30/$E$58,0)</f>
        <v>0</v>
      </c>
      <c r="J30" s="130">
        <f>IFERROR(H30/F30,0)</f>
        <v>0</v>
      </c>
      <c r="K30" s="131">
        <f>SUM(K28:K29)</f>
        <v>0</v>
      </c>
      <c r="L30" s="132">
        <f>SUM(L28:L29)</f>
        <v>0</v>
      </c>
      <c r="M30" s="133">
        <f>IFERROR(K30-L30,0)</f>
        <v>0</v>
      </c>
      <c r="N30" s="134">
        <f>IFERROR(M30/$E$3,0)</f>
        <v>0</v>
      </c>
      <c r="O30" s="135">
        <f>IFERROR(M30/K30,0)</f>
        <v>0</v>
      </c>
      <c r="P30" s="11"/>
    </row>
    <row r="31" spans="1:16" ht="2.1" customHeight="1" x14ac:dyDescent="0.3">
      <c r="A31" s="95"/>
      <c r="B31" s="96"/>
      <c r="C31" s="96"/>
      <c r="D31" s="96"/>
      <c r="E31" s="97"/>
      <c r="F31" s="97"/>
      <c r="G31" s="98"/>
      <c r="H31" s="136"/>
      <c r="I31" s="137"/>
      <c r="J31" s="101"/>
      <c r="K31" s="102"/>
      <c r="L31" s="103"/>
      <c r="M31" s="104"/>
      <c r="N31" s="105"/>
      <c r="O31" s="106"/>
      <c r="P31" s="16"/>
    </row>
    <row r="32" spans="1:16" ht="24.75" customHeight="1" thickBot="1" x14ac:dyDescent="0.35">
      <c r="A32" s="439" t="s">
        <v>27</v>
      </c>
      <c r="B32" s="440"/>
      <c r="C32" s="291"/>
      <c r="D32" s="291"/>
      <c r="E32" s="138" t="e">
        <f>SUM(E30,E26)</f>
        <v>#N/A</v>
      </c>
      <c r="F32" s="139">
        <f>IFERROR(SUM(F30,F26),0)</f>
        <v>0</v>
      </c>
      <c r="G32" s="139" t="e">
        <f>SUM(G26,G30)</f>
        <v>#N/A</v>
      </c>
      <c r="H32" s="140">
        <f>IFERROR(F32-G32,0)</f>
        <v>0</v>
      </c>
      <c r="I32" s="141">
        <f>IFERROR(H32/$E$58,0)</f>
        <v>0</v>
      </c>
      <c r="J32" s="89">
        <f>IFERROR(H32/F32,0)</f>
        <v>0</v>
      </c>
      <c r="K32" s="142" t="e">
        <f>SUM(K30,K26)</f>
        <v>#N/A</v>
      </c>
      <c r="L32" s="143" t="e">
        <f>SUM(L26,L30)</f>
        <v>#N/A</v>
      </c>
      <c r="M32" s="144">
        <f>IFERROR(K32-L32,0)</f>
        <v>0</v>
      </c>
      <c r="N32" s="145">
        <f>IFERROR(M32/$E$3,0)</f>
        <v>0</v>
      </c>
      <c r="O32" s="94">
        <f>IFERROR(M32/K32,0)</f>
        <v>0</v>
      </c>
      <c r="P32" s="11"/>
    </row>
    <row r="33" spans="1:16" ht="3" customHeight="1" thickBot="1" x14ac:dyDescent="0.35">
      <c r="A33" s="146"/>
      <c r="B33" s="147"/>
      <c r="C33" s="147"/>
      <c r="D33" s="147"/>
      <c r="E33" s="148"/>
      <c r="F33" s="148"/>
      <c r="G33" s="149"/>
      <c r="H33" s="150"/>
      <c r="I33" s="151"/>
      <c r="J33" s="101"/>
      <c r="K33" s="152"/>
      <c r="L33" s="153"/>
      <c r="M33" s="104"/>
      <c r="N33" s="154"/>
      <c r="O33" s="155"/>
      <c r="P33" s="12"/>
    </row>
    <row r="34" spans="1:16" ht="54" customHeight="1" thickBot="1" x14ac:dyDescent="0.3">
      <c r="A34" s="470" t="s">
        <v>28</v>
      </c>
      <c r="B34" s="472" t="s">
        <v>20</v>
      </c>
      <c r="C34" s="156"/>
      <c r="D34" s="156"/>
      <c r="E34" s="157" t="s">
        <v>19</v>
      </c>
      <c r="F34" s="158" t="e">
        <f>VLOOKUP(B3,DataInfo[[jobNo]:[Material Cost]],11,0)</f>
        <v>#N/A</v>
      </c>
      <c r="G34" s="158"/>
      <c r="H34" s="159">
        <f>IFERROR(F34-G34,0)</f>
        <v>0</v>
      </c>
      <c r="I34" s="160">
        <f>IFERROR(H34/$E$58,0)</f>
        <v>0</v>
      </c>
      <c r="J34" s="161" t="s">
        <v>19</v>
      </c>
      <c r="K34" s="162" t="e">
        <f>F34</f>
        <v>#N/A</v>
      </c>
      <c r="L34" s="163">
        <f>G34</f>
        <v>0</v>
      </c>
      <c r="M34" s="164">
        <f>IFERROR(K34-L34,0)</f>
        <v>0</v>
      </c>
      <c r="N34" s="165">
        <f>IFERROR(M34/$E$3,0)</f>
        <v>0</v>
      </c>
      <c r="O34" s="166" t="s">
        <v>19</v>
      </c>
      <c r="P34" s="11"/>
    </row>
    <row r="35" spans="1:16" ht="2.25" customHeight="1" thickBot="1" x14ac:dyDescent="0.35">
      <c r="A35" s="471"/>
      <c r="B35" s="473"/>
      <c r="C35" s="167"/>
      <c r="D35" s="167"/>
      <c r="E35" s="168"/>
      <c r="F35" s="168"/>
      <c r="G35" s="169"/>
      <c r="H35" s="170"/>
      <c r="I35" s="171"/>
      <c r="J35" s="17"/>
      <c r="K35" s="172"/>
      <c r="L35" s="173"/>
      <c r="M35" s="174"/>
      <c r="N35" s="175"/>
      <c r="O35" s="18"/>
      <c r="P35" s="19"/>
    </row>
    <row r="36" spans="1:16" ht="30" customHeight="1" thickTop="1" thickBot="1" x14ac:dyDescent="0.35">
      <c r="A36" s="474" t="s">
        <v>29</v>
      </c>
      <c r="B36" s="475"/>
      <c r="C36" s="288"/>
      <c r="D36" s="288"/>
      <c r="E36" s="176"/>
      <c r="F36" s="177">
        <f>IFERROR(SUM(F34:F35),0)</f>
        <v>0</v>
      </c>
      <c r="G36" s="177">
        <f>SUM(G34:G35)</f>
        <v>0</v>
      </c>
      <c r="H36" s="178">
        <f>IFERROR(F36-G36,0)</f>
        <v>0</v>
      </c>
      <c r="I36" s="179">
        <f>IFERROR(H36/$E$58,0)</f>
        <v>0</v>
      </c>
      <c r="J36" s="180">
        <f>IFERROR(H36/F36,0)</f>
        <v>0</v>
      </c>
      <c r="K36" s="181" t="e">
        <f>SUM(K34:K35)</f>
        <v>#N/A</v>
      </c>
      <c r="L36" s="182">
        <f>SUM(L34:L35)</f>
        <v>0</v>
      </c>
      <c r="M36" s="343">
        <f>IFERROR(K36-L36,0)</f>
        <v>0</v>
      </c>
      <c r="N36" s="178">
        <f>IFERROR(M36/$E$3,0)</f>
        <v>0</v>
      </c>
      <c r="O36" s="184">
        <f>IFERROR(M36/K36,0)</f>
        <v>0</v>
      </c>
      <c r="P36" s="12"/>
    </row>
    <row r="37" spans="1:16" ht="1.5" customHeight="1" thickTop="1" thickBot="1" x14ac:dyDescent="0.35">
      <c r="A37" s="146"/>
      <c r="B37" s="146"/>
      <c r="C37" s="147"/>
      <c r="D37" s="147"/>
      <c r="E37" s="148"/>
      <c r="F37" s="148"/>
      <c r="G37" s="149"/>
      <c r="H37" s="150"/>
      <c r="I37" s="185"/>
      <c r="J37" s="186"/>
      <c r="K37" s="187"/>
      <c r="L37" s="153"/>
      <c r="M37" s="345"/>
      <c r="N37" s="150"/>
      <c r="O37" s="155"/>
      <c r="P37" s="12"/>
    </row>
    <row r="38" spans="1:16" ht="31.5" customHeight="1" thickTop="1" x14ac:dyDescent="0.25">
      <c r="A38" s="476" t="s">
        <v>30</v>
      </c>
      <c r="B38" s="189" t="s">
        <v>31</v>
      </c>
      <c r="C38" s="189"/>
      <c r="D38" s="189"/>
      <c r="E38" s="190" t="s">
        <v>19</v>
      </c>
      <c r="F38" s="191" t="e">
        <f>VLOOKUP(B3,DataInfo[[jobNo]:[Company Equipment]],10,0)</f>
        <v>#N/A</v>
      </c>
      <c r="G38" s="191"/>
      <c r="H38" s="192">
        <f>IFERROR(F38-G38,0)</f>
        <v>0</v>
      </c>
      <c r="I38" s="193">
        <f>IFERROR(H38/$E$58,0)</f>
        <v>0</v>
      </c>
      <c r="J38" s="194"/>
      <c r="K38" s="195" t="e">
        <f>F38</f>
        <v>#N/A</v>
      </c>
      <c r="L38" s="196">
        <f>G38</f>
        <v>0</v>
      </c>
      <c r="M38" s="346">
        <f>IFERROR(K38-L38,0)</f>
        <v>0</v>
      </c>
      <c r="N38" s="344">
        <f>IFERROR(M38/$E$3,0)</f>
        <v>0</v>
      </c>
      <c r="O38" s="197"/>
      <c r="P38" s="11"/>
    </row>
    <row r="39" spans="1:16" ht="33" customHeight="1" thickBot="1" x14ac:dyDescent="0.3">
      <c r="A39" s="477"/>
      <c r="B39" s="198" t="s">
        <v>32</v>
      </c>
      <c r="C39" s="198"/>
      <c r="D39" s="198"/>
      <c r="E39" s="199" t="s">
        <v>19</v>
      </c>
      <c r="F39" s="200" t="e">
        <f>VLOOKUP(B3,DataInfo[[jobNo]:[3rd Party Cost]],7,0)</f>
        <v>#N/A</v>
      </c>
      <c r="G39" s="200"/>
      <c r="H39" s="201">
        <f>IFERROR(F39-G39,0)</f>
        <v>0</v>
      </c>
      <c r="I39" s="202">
        <f>IFERROR(H39/$E$58,0)</f>
        <v>0</v>
      </c>
      <c r="J39" s="203"/>
      <c r="K39" s="360" t="e">
        <f>F39</f>
        <v>#N/A</v>
      </c>
      <c r="L39" s="362">
        <f>G39</f>
        <v>0</v>
      </c>
      <c r="M39" s="204">
        <f>IFERROR(K39-L39,0)</f>
        <v>0</v>
      </c>
      <c r="N39" s="205">
        <f>IFERROR(M39/$E$3,0)</f>
        <v>0</v>
      </c>
      <c r="O39" s="206"/>
      <c r="P39" s="11"/>
    </row>
    <row r="40" spans="1:16" ht="30" customHeight="1" thickTop="1" thickBot="1" x14ac:dyDescent="0.35">
      <c r="A40" s="478" t="s">
        <v>33</v>
      </c>
      <c r="B40" s="479"/>
      <c r="C40" s="289"/>
      <c r="D40" s="289"/>
      <c r="E40" s="207" t="s">
        <v>19</v>
      </c>
      <c r="F40" s="208">
        <f>IFERROR(SUM(F38:F39),0)</f>
        <v>0</v>
      </c>
      <c r="G40" s="208"/>
      <c r="H40" s="209">
        <f>IFERROR(F40-G40,0)</f>
        <v>0</v>
      </c>
      <c r="I40" s="210">
        <f>IFERROR(H40/$E$58,0)</f>
        <v>0</v>
      </c>
      <c r="J40" s="211">
        <f>IFERROR(H40/F40,0)</f>
        <v>0</v>
      </c>
      <c r="K40" s="361" t="e">
        <f>SUM(K38:K39)</f>
        <v>#N/A</v>
      </c>
      <c r="L40" s="363">
        <f>SUM(L38:L39)</f>
        <v>0</v>
      </c>
      <c r="M40" s="212">
        <f>IFERROR(K40-L40,0)</f>
        <v>0</v>
      </c>
      <c r="N40" s="209">
        <f>IFERROR(M40/$E$3,0)</f>
        <v>0</v>
      </c>
      <c r="O40" s="213">
        <f>IFERROR(M40/K40,0)</f>
        <v>0</v>
      </c>
      <c r="P40" s="11"/>
    </row>
    <row r="41" spans="1:16" ht="0.75" customHeight="1" thickBot="1" x14ac:dyDescent="0.35">
      <c r="A41" s="95"/>
      <c r="B41" s="96"/>
      <c r="C41" s="96"/>
      <c r="D41" s="96"/>
      <c r="E41" s="97"/>
      <c r="F41" s="98"/>
      <c r="G41" s="98"/>
      <c r="H41" s="99"/>
      <c r="I41" s="100"/>
      <c r="J41" s="101"/>
      <c r="K41" s="102"/>
      <c r="L41" s="103"/>
      <c r="M41" s="214"/>
      <c r="N41" s="100"/>
      <c r="O41" s="106"/>
      <c r="P41" s="16"/>
    </row>
    <row r="42" spans="1:16" ht="30.95" customHeight="1" x14ac:dyDescent="0.25">
      <c r="A42" s="480" t="s">
        <v>34</v>
      </c>
      <c r="B42" s="215" t="s">
        <v>35</v>
      </c>
      <c r="C42" s="216" t="e">
        <f>VLOOKUP(B3,DataInfo[[jobNo]:[Scaffold-ADD]],6,0)</f>
        <v>#N/A</v>
      </c>
      <c r="D42" s="216"/>
      <c r="E42" s="217" t="s">
        <v>19</v>
      </c>
      <c r="F42" s="218" t="e">
        <f>(C42*$C$5)+(D42*$D$5)</f>
        <v>#N/A</v>
      </c>
      <c r="G42" s="218"/>
      <c r="H42" s="219">
        <f>IFERROR(F42-G42,0)</f>
        <v>0</v>
      </c>
      <c r="I42" s="220">
        <f>IFERROR(H42/$E$58,0)</f>
        <v>0</v>
      </c>
      <c r="J42" s="221">
        <f>IFERROR(H42/F42,0)</f>
        <v>0</v>
      </c>
      <c r="K42" s="222" t="e">
        <f>F42</f>
        <v>#N/A</v>
      </c>
      <c r="L42" s="223">
        <f>G42</f>
        <v>0</v>
      </c>
      <c r="M42" s="224">
        <f>IFERROR(K42-L42,0)</f>
        <v>0</v>
      </c>
      <c r="N42" s="225">
        <f>IFERROR(M42/$E$3,0)</f>
        <v>0</v>
      </c>
      <c r="O42" s="226">
        <f>IFERROR(M42/K42,0)</f>
        <v>0</v>
      </c>
      <c r="P42" s="16"/>
    </row>
    <row r="43" spans="1:16" ht="30.95" customHeight="1" thickBot="1" x14ac:dyDescent="0.3">
      <c r="A43" s="481"/>
      <c r="B43" s="227" t="s">
        <v>36</v>
      </c>
      <c r="C43" s="228"/>
      <c r="D43" s="228"/>
      <c r="E43" s="229" t="s">
        <v>19</v>
      </c>
      <c r="F43" s="230" t="e">
        <f>VLOOKUP(B3,DataInfo[[jobNo]:[Scaffold]],9,0)</f>
        <v>#N/A</v>
      </c>
      <c r="G43" s="230"/>
      <c r="H43" s="231">
        <f>IFERROR(F43-G43,0)</f>
        <v>0</v>
      </c>
      <c r="I43" s="232">
        <f>IFERROR(H43/$E$58,0)</f>
        <v>0</v>
      </c>
      <c r="J43" s="233">
        <f>IFERROR(H43/F43,0)</f>
        <v>0</v>
      </c>
      <c r="K43" s="234" t="e">
        <f>F43</f>
        <v>#N/A</v>
      </c>
      <c r="L43" s="235">
        <f>G43</f>
        <v>0</v>
      </c>
      <c r="M43" s="236">
        <f>IFERROR(K43-L43,0)</f>
        <v>0</v>
      </c>
      <c r="N43" s="237">
        <f>IFERROR(M43/$E$3,0)</f>
        <v>0</v>
      </c>
      <c r="O43" s="238">
        <f>IFERROR(M43/K43,0)</f>
        <v>0</v>
      </c>
      <c r="P43" s="16"/>
    </row>
    <row r="44" spans="1:16" ht="32.25" customHeight="1" thickTop="1" thickBot="1" x14ac:dyDescent="0.35">
      <c r="A44" s="464" t="s">
        <v>37</v>
      </c>
      <c r="B44" s="465"/>
      <c r="C44" s="286"/>
      <c r="D44" s="286"/>
      <c r="E44" s="239"/>
      <c r="F44" s="334">
        <f>IFERROR(SUM(F42:F43),0)</f>
        <v>0</v>
      </c>
      <c r="G44" s="240">
        <f>SUM(G42:G43)</f>
        <v>0</v>
      </c>
      <c r="H44" s="241">
        <f>IFERROR(F44-G44,0)</f>
        <v>0</v>
      </c>
      <c r="I44" s="242">
        <f>IFERROR(H44/$E$58,0)</f>
        <v>0</v>
      </c>
      <c r="J44" s="243">
        <f>IFERROR(H44/F44,0)</f>
        <v>0</v>
      </c>
      <c r="K44" s="244" t="e">
        <f>SUM(K42:K43)</f>
        <v>#N/A</v>
      </c>
      <c r="L44" s="245">
        <f>SUM(L42:L43)</f>
        <v>0</v>
      </c>
      <c r="M44" s="246">
        <f>IFERROR(K44-L44,0)</f>
        <v>0</v>
      </c>
      <c r="N44" s="241">
        <f>IFERROR(M44/$E$3,0)</f>
        <v>0</v>
      </c>
      <c r="O44" s="247">
        <f>IFERROR(M44/K44,0)</f>
        <v>0</v>
      </c>
      <c r="P44" s="11"/>
    </row>
    <row r="45" spans="1:16" ht="0.75" customHeight="1" thickTop="1" thickBot="1" x14ac:dyDescent="0.35">
      <c r="A45" s="332"/>
      <c r="B45" s="147"/>
      <c r="C45" s="147"/>
      <c r="D45" s="147"/>
      <c r="E45" s="148"/>
      <c r="F45" s="335"/>
      <c r="G45" s="149"/>
      <c r="H45" s="150"/>
      <c r="I45" s="185"/>
      <c r="J45" s="101"/>
      <c r="K45" s="187"/>
      <c r="L45" s="153"/>
      <c r="M45" s="188"/>
      <c r="N45" s="150"/>
      <c r="O45" s="155"/>
      <c r="P45" s="12"/>
    </row>
    <row r="46" spans="1:16" ht="31.5" customHeight="1" thickTop="1" x14ac:dyDescent="0.3">
      <c r="A46" s="466" t="s">
        <v>21</v>
      </c>
      <c r="B46" s="331" t="s">
        <v>38</v>
      </c>
      <c r="C46" s="347">
        <v>0</v>
      </c>
      <c r="D46" s="347">
        <f>IFERROR(SUMIFS(#REF!,#REF!,$A$2,#REF!,$B$3),0)</f>
        <v>0</v>
      </c>
      <c r="E46" s="333"/>
      <c r="F46" s="336" t="e">
        <f>VLOOKUP(B3,DataInfo[[jobNo]:[Other Cost]],15,0)</f>
        <v>#N/A</v>
      </c>
      <c r="G46" s="337"/>
      <c r="H46" s="338">
        <f>IFERROR(F46-G46,0)</f>
        <v>0</v>
      </c>
      <c r="I46" s="339">
        <f>IFERROR(H46/$E$26,0)</f>
        <v>0</v>
      </c>
      <c r="J46" s="340"/>
      <c r="K46" s="341" t="e">
        <f>F46</f>
        <v>#N/A</v>
      </c>
      <c r="L46" s="342">
        <f>G46</f>
        <v>0</v>
      </c>
      <c r="M46" s="249">
        <f>IFERROR(K46-L46,0)</f>
        <v>0</v>
      </c>
      <c r="N46" s="250">
        <f>IFERROR(M46/$E$3,0)</f>
        <v>0</v>
      </c>
      <c r="O46" s="251"/>
      <c r="P46" s="19"/>
    </row>
    <row r="47" spans="1:16" ht="31.5" customHeight="1" thickBot="1" x14ac:dyDescent="0.35">
      <c r="A47" s="467"/>
      <c r="B47" s="252" t="s">
        <v>39</v>
      </c>
      <c r="C47" s="253"/>
      <c r="D47" s="253"/>
      <c r="E47" s="254" t="s">
        <v>19</v>
      </c>
      <c r="F47" s="248" t="e">
        <f>VLOOKUP(B3,DataInfo[[jobNo]:[Other Revanue]],16,0)</f>
        <v>#N/A</v>
      </c>
      <c r="G47" s="255"/>
      <c r="H47" s="256">
        <f>IFERROR(F47-G47,0)</f>
        <v>0</v>
      </c>
      <c r="I47" s="257">
        <f>IFERROR(H47/$E$26,0)</f>
        <v>0</v>
      </c>
      <c r="J47" s="258"/>
      <c r="K47" s="259" t="e">
        <f>F47</f>
        <v>#N/A</v>
      </c>
      <c r="L47" s="260">
        <f>G47</f>
        <v>0</v>
      </c>
      <c r="M47" s="212">
        <f>IFERROR(K47-L47,0)</f>
        <v>0</v>
      </c>
      <c r="N47" s="209">
        <f>IFERROR(M47/$E$3,0)</f>
        <v>0</v>
      </c>
      <c r="O47" s="261"/>
      <c r="P47" s="12"/>
    </row>
    <row r="48" spans="1:16" ht="30" customHeight="1" thickTop="1" thickBot="1" x14ac:dyDescent="0.35">
      <c r="A48" s="468" t="s">
        <v>40</v>
      </c>
      <c r="B48" s="469"/>
      <c r="C48" s="287"/>
      <c r="D48" s="262"/>
      <c r="E48" s="300"/>
      <c r="F48" s="263">
        <f>IFERROR(SUM(F45:F47),0)</f>
        <v>0</v>
      </c>
      <c r="G48" s="263">
        <f>SUM(G45:G47)</f>
        <v>0</v>
      </c>
      <c r="H48" s="264">
        <f>IFERROR(F48-G48,0)</f>
        <v>0</v>
      </c>
      <c r="I48" s="301">
        <f>IFERROR(H48/$E$58,0)</f>
        <v>0</v>
      </c>
      <c r="J48" s="265">
        <f>IFERROR(H48/F48,0)</f>
        <v>0</v>
      </c>
      <c r="K48" s="266" t="e">
        <f>SUM(K45:K47)</f>
        <v>#N/A</v>
      </c>
      <c r="L48" s="267">
        <f>SUM(L45:L47)</f>
        <v>0</v>
      </c>
      <c r="M48" s="183">
        <f>IFERROR(K48-L48,0)</f>
        <v>0</v>
      </c>
      <c r="N48" s="178">
        <f>IFERROR(M48/$E$3,0)</f>
        <v>0</v>
      </c>
      <c r="O48" s="268">
        <f>IFERROR(M48/K48,0)</f>
        <v>0</v>
      </c>
      <c r="P48" s="12"/>
    </row>
    <row r="49" spans="1:16" ht="60" customHeight="1" thickBot="1" x14ac:dyDescent="0.35">
      <c r="A49" s="433" t="s">
        <v>55</v>
      </c>
      <c r="B49" s="435" t="s">
        <v>55</v>
      </c>
      <c r="C49" s="437"/>
      <c r="D49" s="426"/>
      <c r="E49" s="426"/>
      <c r="F49" s="424" t="e">
        <f>VLOOKUP(B3,DataInfo[[jobNo]:[Tools]],13,0)</f>
        <v>#N/A</v>
      </c>
      <c r="G49" s="426"/>
      <c r="H49" s="428"/>
      <c r="I49" s="430"/>
      <c r="J49" s="348"/>
      <c r="K49" s="364"/>
      <c r="L49" s="377"/>
      <c r="M49" s="297"/>
      <c r="N49" s="383"/>
      <c r="O49" s="298"/>
      <c r="P49" s="299"/>
    </row>
    <row r="50" spans="1:16" ht="30" hidden="1" customHeight="1" thickBot="1" x14ac:dyDescent="0.35">
      <c r="A50" s="434"/>
      <c r="B50" s="436"/>
      <c r="C50" s="438"/>
      <c r="D50" s="427"/>
      <c r="E50" s="427"/>
      <c r="F50" s="425"/>
      <c r="G50" s="427"/>
      <c r="H50" s="429"/>
      <c r="I50" s="431"/>
      <c r="J50" s="296"/>
      <c r="K50" s="294"/>
      <c r="L50" s="294"/>
      <c r="M50" s="350"/>
      <c r="N50" s="295"/>
      <c r="O50" s="353"/>
      <c r="P50" s="299"/>
    </row>
    <row r="51" spans="1:16" ht="30" customHeight="1" thickTop="1" thickBot="1" x14ac:dyDescent="0.35">
      <c r="A51" s="432" t="s">
        <v>85</v>
      </c>
      <c r="B51" s="432"/>
      <c r="C51" s="302"/>
      <c r="D51" s="303"/>
      <c r="E51" s="304"/>
      <c r="F51" s="311" t="e">
        <f>SUM(F49)</f>
        <v>#N/A</v>
      </c>
      <c r="G51" s="305"/>
      <c r="H51" s="305"/>
      <c r="I51" s="306"/>
      <c r="J51" s="349"/>
      <c r="K51" s="365"/>
      <c r="L51" s="378"/>
      <c r="M51" s="351"/>
      <c r="N51" s="384"/>
      <c r="O51" s="385"/>
      <c r="P51" s="299"/>
    </row>
    <row r="52" spans="1:16" ht="58.5" customHeight="1" thickBot="1" x14ac:dyDescent="0.35">
      <c r="A52" s="418" t="s">
        <v>86</v>
      </c>
      <c r="B52" s="420" t="s">
        <v>87</v>
      </c>
      <c r="C52" s="422"/>
      <c r="D52" s="413"/>
      <c r="E52" s="413"/>
      <c r="F52" s="411" t="e">
        <f>VLOOKUP(B3,DataInfo[[jobNo]:[Scaffold]],9,0)</f>
        <v>#N/A</v>
      </c>
      <c r="G52" s="413"/>
      <c r="H52" s="413"/>
      <c r="I52" s="415"/>
      <c r="J52" s="328"/>
      <c r="K52" s="366"/>
      <c r="L52" s="379"/>
      <c r="M52" s="297"/>
      <c r="N52" s="383"/>
      <c r="O52" s="386"/>
      <c r="P52" s="299"/>
    </row>
    <row r="53" spans="1:16" ht="30" hidden="1" customHeight="1" thickBot="1" x14ac:dyDescent="0.35">
      <c r="A53" s="419"/>
      <c r="B53" s="421"/>
      <c r="C53" s="423"/>
      <c r="D53" s="414"/>
      <c r="E53" s="414"/>
      <c r="F53" s="412"/>
      <c r="G53" s="414"/>
      <c r="H53" s="414"/>
      <c r="I53" s="416"/>
      <c r="J53" s="328"/>
      <c r="K53" s="329"/>
      <c r="L53" s="354"/>
      <c r="M53" s="350"/>
      <c r="N53" s="295"/>
      <c r="O53" s="353"/>
      <c r="P53" s="299"/>
    </row>
    <row r="54" spans="1:16" ht="30" customHeight="1" thickTop="1" thickBot="1" x14ac:dyDescent="0.35">
      <c r="A54" s="417" t="s">
        <v>88</v>
      </c>
      <c r="B54" s="417"/>
      <c r="C54" s="307"/>
      <c r="D54" s="308"/>
      <c r="E54" s="309"/>
      <c r="F54" s="326" t="e">
        <f>SUM(F52)</f>
        <v>#N/A</v>
      </c>
      <c r="G54" s="308"/>
      <c r="H54" s="308"/>
      <c r="I54" s="310"/>
      <c r="J54" s="367"/>
      <c r="K54" s="380"/>
      <c r="L54" s="355"/>
      <c r="M54" s="387"/>
      <c r="N54" s="352"/>
      <c r="O54" s="385"/>
      <c r="P54" s="299"/>
    </row>
    <row r="55" spans="1:16" ht="60" customHeight="1" thickBot="1" x14ac:dyDescent="0.35">
      <c r="A55" s="405" t="s">
        <v>56</v>
      </c>
      <c r="B55" s="407" t="s">
        <v>56</v>
      </c>
      <c r="C55" s="409"/>
      <c r="D55" s="400"/>
      <c r="E55" s="400"/>
      <c r="F55" s="398" t="e">
        <f>VLOOKUP(B3,DataInfo[[jobNo]:[Consumables]],14,0)</f>
        <v>#N/A</v>
      </c>
      <c r="G55" s="400"/>
      <c r="H55" s="400"/>
      <c r="I55" s="402"/>
      <c r="J55" s="356"/>
      <c r="K55" s="368"/>
      <c r="L55" s="381"/>
      <c r="M55" s="358"/>
      <c r="N55" s="389"/>
      <c r="O55" s="388"/>
      <c r="P55" s="299"/>
    </row>
    <row r="56" spans="1:16" ht="0.75" customHeight="1" thickTop="1" thickBot="1" x14ac:dyDescent="0.35">
      <c r="A56" s="406"/>
      <c r="B56" s="408"/>
      <c r="C56" s="410"/>
      <c r="D56" s="401"/>
      <c r="E56" s="401"/>
      <c r="F56" s="399"/>
      <c r="G56" s="401"/>
      <c r="H56" s="401"/>
      <c r="I56" s="403"/>
      <c r="J56" s="330"/>
      <c r="K56" s="357"/>
      <c r="L56" s="357"/>
      <c r="M56" s="370"/>
      <c r="N56" s="371"/>
      <c r="O56" s="372"/>
      <c r="P56" s="299"/>
    </row>
    <row r="57" spans="1:16" ht="30" customHeight="1" thickTop="1" thickBot="1" x14ac:dyDescent="0.35">
      <c r="A57" s="404" t="s">
        <v>89</v>
      </c>
      <c r="B57" s="404"/>
      <c r="C57" s="312"/>
      <c r="D57" s="316"/>
      <c r="E57" s="313"/>
      <c r="F57" s="327" t="e">
        <f>SUM(F55)</f>
        <v>#N/A</v>
      </c>
      <c r="G57" s="316"/>
      <c r="H57" s="313"/>
      <c r="I57" s="314"/>
      <c r="J57" s="369"/>
      <c r="K57" s="382"/>
      <c r="L57" s="359"/>
      <c r="M57" s="373"/>
      <c r="N57" s="390"/>
      <c r="O57" s="391"/>
      <c r="P57" s="12"/>
    </row>
    <row r="58" spans="1:16" ht="24" thickBot="1" x14ac:dyDescent="0.3">
      <c r="A58" s="269" t="str">
        <f>TRIM(A1)</f>
        <v/>
      </c>
      <c r="B58" s="270"/>
      <c r="C58" s="270"/>
      <c r="D58" s="315" t="s">
        <v>41</v>
      </c>
      <c r="E58" s="317" t="e">
        <f>SUM(E26,E30)</f>
        <v>#N/A</v>
      </c>
      <c r="F58" s="325" t="e">
        <f>SUM(F26,F30,F36,F40,F44,F48,F51,F54,F57)</f>
        <v>#N/A</v>
      </c>
      <c r="G58" s="323" t="e">
        <f>SUM(G26,G30,G36,G40,G44,G48)</f>
        <v>#N/A</v>
      </c>
      <c r="H58" s="322">
        <f>IFERROR(F58-G58,0)</f>
        <v>0</v>
      </c>
      <c r="I58" s="321">
        <f>IFERROR(H58/$E$58,0)</f>
        <v>0</v>
      </c>
      <c r="J58" s="319">
        <f>IFERROR(IF(F58&lt;0.01,0,H58/F58),0)</f>
        <v>0</v>
      </c>
      <c r="K58" s="318" t="e">
        <f>SUM(K26,K30,K36,K40,K44,K48)</f>
        <v>#N/A</v>
      </c>
      <c r="L58" s="271" t="e">
        <f>SUM(L26,L30,L36,L40,L44,L48)</f>
        <v>#N/A</v>
      </c>
      <c r="M58" s="374">
        <f>IFERROR(K58-L58,0)</f>
        <v>0</v>
      </c>
      <c r="N58" s="375">
        <f>IFERROR(M58/$E$3,0)</f>
        <v>0</v>
      </c>
      <c r="O58" s="376">
        <f>IFERROR(M58/K58,0)</f>
        <v>0</v>
      </c>
      <c r="P58" s="20"/>
    </row>
    <row r="59" spans="1:16" ht="12.75" customHeight="1" thickBot="1" x14ac:dyDescent="0.3">
      <c r="A59" s="272"/>
      <c r="B59" s="272"/>
      <c r="C59" s="272"/>
      <c r="D59" s="272"/>
      <c r="E59" s="273"/>
      <c r="F59" s="324"/>
      <c r="G59" s="324"/>
      <c r="H59" s="320"/>
      <c r="I59" s="320"/>
      <c r="J59" s="320"/>
      <c r="K59" s="274" t="e">
        <v>#REF!</v>
      </c>
      <c r="L59" s="275" t="e">
        <v>#REF!</v>
      </c>
      <c r="M59" s="276"/>
      <c r="N59" s="273"/>
      <c r="O59" s="277"/>
    </row>
    <row r="60" spans="1:16" x14ac:dyDescent="0.25">
      <c r="E60" s="278"/>
      <c r="F60" s="279" t="e">
        <f>IF(ABS(F58-F59)&gt; 1,F58-F59,"")</f>
        <v>#N/A</v>
      </c>
      <c r="G60" s="279" t="e">
        <f>IF(ABS(G58-G59)&gt; 1,G58-G59,"")</f>
        <v>#N/A</v>
      </c>
      <c r="K60" s="280" t="e">
        <f>IF(ABS(K58-K59)&gt; 1,K58-K59,"")</f>
        <v>#N/A</v>
      </c>
      <c r="L60" s="280" t="e">
        <f>IF(ABS(L58-L59)&gt; 1,L58-L59,"")</f>
        <v>#N/A</v>
      </c>
      <c r="M60" s="281"/>
      <c r="O60" s="282"/>
    </row>
    <row r="61" spans="1:16" ht="38.25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ht="20.25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ht="20.25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ht="20.25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ht="20.25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ht="20.25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ht="20.25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ht="20.25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ht="20.25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ht="20.25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ht="20.25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ht="20.25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ht="20.25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ht="20.25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ht="20.25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ht="20.25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ht="20.25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ht="20.25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ht="20.25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ht="20.25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ht="20.25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ht="20.25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ht="20.25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ht="20.25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ht="20.25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ht="20.25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ht="20.25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ht="20.25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ht="20.25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ht="20.25" customHeigh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ht="20.25" customHeigh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ht="20.25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ht="20.25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ht="20.25" customHeigh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ht="20.25" customHeigh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ht="20.25" customHeigh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ht="20.25" customHeigh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ht="20.25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ht="20.25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ht="20.25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ht="20.25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ht="20.25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ht="20.25" customHeigh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ht="20.25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ht="20.25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ht="20.25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ht="20.25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ht="20.25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ht="20.25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ht="20.25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ht="20.25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ht="20.25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ht="20.25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ht="20.25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ht="20.25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ht="20.25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ht="20.25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ht="20.25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ht="20.25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ht="20.25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ht="20.25" customHeigh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ht="20.25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ht="20.25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ht="20.25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ht="20.25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ht="20.25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ht="20.25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ht="20.25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ht="20.25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ht="20.25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ht="20.25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ht="20.25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ht="20.25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ht="20.25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ht="20.25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ht="20.25" customHeigh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ht="20.25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ht="20.25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ht="20.25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ht="20.25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ht="20.25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ht="20.25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ht="20.25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ht="20.25" customHeigh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ht="20.25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ht="20.25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ht="20.25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ht="20.25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ht="20.25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ht="20.25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ht="20.25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ht="20.25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ht="20.25" customHeigh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ht="20.25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ht="20.25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ht="20.25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ht="20.25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ht="20.25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ht="20.25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ht="20.25" customHeigh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ht="20.25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 ht="20.25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 ht="20.25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 ht="20.25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 ht="20.25" customHeigh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 ht="20.25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 ht="20.25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 ht="20.25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 ht="20.25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 ht="20.25" customHeigh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 ht="20.25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 ht="20.25" customHeigh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 ht="20.2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 ht="20.2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 ht="20.2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 ht="20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 ht="20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 ht="20.25" customHeigh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 ht="20.25" customHeigh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 ht="20.25" customHeigh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 ht="20.25" customHeigh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 ht="20.25" customHeigh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 ht="20.25" customHeigh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 ht="20.25" customHeigh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 ht="20.25" customHeigh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 ht="20.25" customHeigh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 ht="20.2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 ht="20.25" customHeigh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 ht="20.25" customHeigh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 ht="20.25" customHeigh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 ht="20.25" customHeigh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 ht="20.25" customHeigh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 ht="20.25" customHeigh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 ht="20.25" customHeigh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 ht="20.25" customHeigh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 ht="20.25" customHeigh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 ht="20.25" customHeigh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 ht="20.25" customHeigh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 ht="20.25" customHeigh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 ht="20.25" customHeigh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 ht="20.25" customHeigh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 ht="20.25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 ht="20.25" customHeigh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 ht="20.25" customHeigh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 ht="20.25" customHeigh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 ht="20.25" customHeigh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 ht="20.25" customHeigh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 ht="20.25" customHeigh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 ht="20.25" customHeigh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 ht="20.25" customHeigh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 ht="20.25" customHeigh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 ht="20.25" customHeigh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 ht="20.25" customHeigh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 ht="20.25" customHeigh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1:16" ht="20.25" customHeigh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1:16" ht="20.25" customHeigh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1:16" ht="21" customHeigh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1:16" ht="20.25" customHeigh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1:16" ht="20.25" customHeigh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1:16" ht="20.25" customHeigh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1:16" ht="20.25" customHeigh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1:16" ht="20.25" customHeigh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1:16" ht="20.25" customHeigh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spans="1:16" ht="20.25" customHeigh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spans="1:16" ht="20.25" customHeigh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spans="1:16" ht="20.25" customHeigh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spans="1:16" ht="20.25" customHeigh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spans="1:16" ht="20.25" customHeigh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spans="1:16" ht="20.25" customHeigh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spans="1:16" ht="20.25" customHeigh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spans="1:16" ht="20.25" customHeigh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1:16" ht="20.25" customHeigh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spans="1:16" ht="20.25" customHeigh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1:16" ht="20.25" customHeigh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spans="1:16" ht="20.25" customHeigh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spans="1:16" ht="20.25" customHeigh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spans="1:16" ht="20.25" customHeigh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spans="1:16" ht="20.25" customHeigh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spans="1:16" ht="20.25" customHeigh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spans="1:16" ht="20.25" customHeigh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spans="1:16" ht="20.25" customHeigh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1:16" ht="20.25" customHeigh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spans="1:16" ht="20.25" customHeigh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spans="1:16" ht="20.25" customHeigh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spans="1:16" ht="20.25" customHeigh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spans="1:16" ht="20.25" customHeigh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spans="1:16" ht="20.25" customHeigh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spans="1:16" ht="20.25" customHeigh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spans="1:16" ht="20.25" customHeigh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spans="1:16" ht="20.25" customHeigh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1:16" ht="20.25" customHeigh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1:16" ht="20.25" customHeigh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1:16" ht="20.25" customHeigh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  <row r="256" spans="1:16" ht="20.25" customHeigh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</row>
    <row r="257" spans="1:16" ht="20.25" customHeigh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</row>
    <row r="258" spans="1:16" ht="20.25" customHeigh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</row>
    <row r="259" spans="1:16" ht="20.25" customHeigh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</row>
    <row r="260" spans="1:16" ht="20.25" customHeigh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</row>
    <row r="261" spans="1:16" ht="20.25" customHeigh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</row>
    <row r="262" spans="1:16" ht="20.25" customHeigh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</row>
    <row r="263" spans="1:16" ht="20.25" customHeigh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</row>
    <row r="264" spans="1:16" ht="20.25" customHeigh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</row>
    <row r="265" spans="1:16" ht="20.25" customHeigh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</row>
    <row r="266" spans="1:16" ht="20.25" customHeigh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</row>
    <row r="267" spans="1:16" ht="20.25" customHeigh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</row>
    <row r="268" spans="1:16" ht="20.25" customHeigh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</row>
    <row r="269" spans="1:16" ht="20.25" customHeigh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</row>
    <row r="270" spans="1:16" ht="20.25" customHeigh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</row>
    <row r="271" spans="1:16" ht="20.25" customHeigh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</row>
    <row r="272" spans="1:16" ht="20.25" customHeigh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</row>
    <row r="273" spans="1:16" ht="20.25" customHeigh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</row>
    <row r="274" spans="1:16" ht="20.25" customHeigh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</row>
    <row r="275" spans="1:16" ht="20.25" customHeigh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</row>
    <row r="276" spans="1:16" ht="20.25" customHeigh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</row>
    <row r="277" spans="1:16" ht="20.25" customHeigh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</row>
    <row r="278" spans="1:16" ht="20.25" customHeigh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</row>
    <row r="279" spans="1:16" ht="20.25" customHeigh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</row>
    <row r="280" spans="1:16" ht="20.25" customHeigh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</row>
    <row r="281" spans="1:16" ht="20.25" customHeigh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</row>
    <row r="282" spans="1:16" ht="20.25" customHeigh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</row>
    <row r="283" spans="1:16" ht="20.25" customHeigh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</row>
    <row r="284" spans="1:16" ht="20.25" customHeigh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</row>
    <row r="285" spans="1:16" ht="20.25" customHeigh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</row>
    <row r="286" spans="1:16" ht="20.25" customHeigh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</row>
    <row r="287" spans="1:16" ht="20.25" customHeigh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</row>
    <row r="288" spans="1:16" ht="20.25" customHeigh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</row>
    <row r="289" spans="1:16" ht="20.25" customHeigh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</row>
    <row r="290" spans="1:16" ht="20.25" customHeigh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</row>
    <row r="291" spans="1:16" ht="20.25" customHeigh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</row>
    <row r="292" spans="1:16" ht="3.75" customHeigh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</row>
    <row r="293" spans="1:1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</row>
    <row r="294" spans="1:1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</row>
  </sheetData>
  <dataConsolidate/>
  <mergeCells count="51">
    <mergeCell ref="A44:B44"/>
    <mergeCell ref="A46:A47"/>
    <mergeCell ref="A48:B48"/>
    <mergeCell ref="A34:A35"/>
    <mergeCell ref="B34:B35"/>
    <mergeCell ref="A36:B36"/>
    <mergeCell ref="A38:A39"/>
    <mergeCell ref="A40:B40"/>
    <mergeCell ref="A42:A43"/>
    <mergeCell ref="M2:O2"/>
    <mergeCell ref="A5:A25"/>
    <mergeCell ref="A26:B26"/>
    <mergeCell ref="A28:A29"/>
    <mergeCell ref="A30:B30"/>
    <mergeCell ref="K2:L2"/>
    <mergeCell ref="A32:B32"/>
    <mergeCell ref="B1:C1"/>
    <mergeCell ref="G1:H1"/>
    <mergeCell ref="B2:D2"/>
    <mergeCell ref="E2:F2"/>
    <mergeCell ref="G2:I2"/>
    <mergeCell ref="F49:F50"/>
    <mergeCell ref="G49:G50"/>
    <mergeCell ref="H49:H50"/>
    <mergeCell ref="I49:I50"/>
    <mergeCell ref="A51:B51"/>
    <mergeCell ref="A49:A50"/>
    <mergeCell ref="B49:B50"/>
    <mergeCell ref="C49:C50"/>
    <mergeCell ref="D49:D50"/>
    <mergeCell ref="E49:E50"/>
    <mergeCell ref="F52:F53"/>
    <mergeCell ref="G52:G53"/>
    <mergeCell ref="H52:H53"/>
    <mergeCell ref="I52:I53"/>
    <mergeCell ref="A54:B54"/>
    <mergeCell ref="A52:A53"/>
    <mergeCell ref="B52:B53"/>
    <mergeCell ref="C52:C53"/>
    <mergeCell ref="D52:D53"/>
    <mergeCell ref="E52:E53"/>
    <mergeCell ref="F55:F56"/>
    <mergeCell ref="G55:G56"/>
    <mergeCell ref="H55:H56"/>
    <mergeCell ref="I55:I56"/>
    <mergeCell ref="A57:B57"/>
    <mergeCell ref="A55:A56"/>
    <mergeCell ref="B55:B56"/>
    <mergeCell ref="C55:C56"/>
    <mergeCell ref="D55:D56"/>
    <mergeCell ref="E55:E56"/>
  </mergeCells>
  <conditionalFormatting sqref="H5:I41 M5:N41 M45:N57 H45:I48">
    <cfRule type="cellIs" dxfId="66" priority="25" operator="greaterThan">
      <formula>0.046</formula>
    </cfRule>
    <cfRule type="cellIs" dxfId="65" priority="26" operator="between">
      <formula>0</formula>
      <formula>0.045</formula>
    </cfRule>
    <cfRule type="cellIs" dxfId="64" priority="27" operator="lessThan">
      <formula>0</formula>
    </cfRule>
    <cfRule type="cellIs" dxfId="63" priority="28" operator="greaterThan">
      <formula>0.05</formula>
    </cfRule>
  </conditionalFormatting>
  <conditionalFormatting sqref="B2">
    <cfRule type="cellIs" dxfId="62" priority="24" operator="equal">
      <formula>"*"</formula>
    </cfRule>
  </conditionalFormatting>
  <conditionalFormatting sqref="F59">
    <cfRule type="expression" dxfId="61" priority="22">
      <formula>ABS($F$58-$F$59)&gt;0.01</formula>
    </cfRule>
  </conditionalFormatting>
  <conditionalFormatting sqref="G59">
    <cfRule type="expression" dxfId="60" priority="21">
      <formula>ABS($G$58-$G$59)&gt;0.01</formula>
    </cfRule>
  </conditionalFormatting>
  <conditionalFormatting sqref="H42:I42 M42:N42">
    <cfRule type="cellIs" dxfId="59" priority="12" operator="greaterThan">
      <formula>0.046</formula>
    </cfRule>
    <cfRule type="cellIs" dxfId="58" priority="13" operator="between">
      <formula>0</formula>
      <formula>0.045</formula>
    </cfRule>
    <cfRule type="cellIs" dxfId="57" priority="14" operator="lessThan">
      <formula>0</formula>
    </cfRule>
    <cfRule type="cellIs" dxfId="56" priority="15" operator="greaterThan">
      <formula>0.05</formula>
    </cfRule>
  </conditionalFormatting>
  <conditionalFormatting sqref="H43:I43 M43:N43">
    <cfRule type="cellIs" dxfId="55" priority="8" operator="greaterThan">
      <formula>0.046</formula>
    </cfRule>
    <cfRule type="cellIs" dxfId="54" priority="9" operator="between">
      <formula>0</formula>
      <formula>0.045</formula>
    </cfRule>
    <cfRule type="cellIs" dxfId="53" priority="10" operator="lessThan">
      <formula>0</formula>
    </cfRule>
    <cfRule type="cellIs" dxfId="52" priority="11" operator="greaterThan">
      <formula>0.05</formula>
    </cfRule>
  </conditionalFormatting>
  <conditionalFormatting sqref="H44:I44 M44:N44">
    <cfRule type="cellIs" dxfId="51" priority="4" operator="greaterThan">
      <formula>0.046</formula>
    </cfRule>
    <cfRule type="cellIs" dxfId="50" priority="5" operator="between">
      <formula>0</formula>
      <formula>0.045</formula>
    </cfRule>
    <cfRule type="cellIs" dxfId="49" priority="6" operator="lessThan">
      <formula>0</formula>
    </cfRule>
    <cfRule type="cellIs" dxfId="48" priority="7" operator="greaterThan">
      <formula>0.05</formula>
    </cfRule>
  </conditionalFormatting>
  <conditionalFormatting sqref="K59">
    <cfRule type="expression" dxfId="47" priority="3">
      <formula>ABS($F$58-$F$59)&gt;0.01</formula>
    </cfRule>
  </conditionalFormatting>
  <conditionalFormatting sqref="L59">
    <cfRule type="expression" dxfId="46" priority="2">
      <formula>ABS($G$58-$G$59)&gt;0.01</formula>
    </cfRule>
  </conditionalFormatting>
  <conditionalFormatting sqref="G1:H1">
    <cfRule type="expression" dxfId="45" priority="1">
      <formula>ABS($I$5-$I$3)&gt;0.01</formula>
    </cfRule>
  </conditionalFormatting>
  <pageMargins left="0.25" right="0.25" top="0.5" bottom="0.5" header="0.3" footer="0.3"/>
  <pageSetup scale="10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promptTitle="JOB" xr:uid="{113EE242-7309-4E82-9DBD-AC89364C60A3}">
          <x14:formula1>
            <xm:f>Data!#REF!</xm:f>
          </x14:formula1>
          <xm:sqref>F42 B7 F40 C39 E6</xm:sqref>
        </x14:dataValidation>
        <x14:dataValidation type="list" showInputMessage="1" showErrorMessage="1" promptTitle="JOB" xr:uid="{69306EF2-4B9B-4A83-94D4-064167C84FED}">
          <x14:formula1>
            <xm:f>Data!$A$2:$A$5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D98FE-FA72-44CB-B766-7456E201DDC7}">
  <sheetPr codeName="Sheet1"/>
  <dimension ref="A1:AR6"/>
  <sheetViews>
    <sheetView zoomScaleNormal="100" workbookViewId="0">
      <selection activeCell="A2" sqref="A2:D6"/>
    </sheetView>
  </sheetViews>
  <sheetFormatPr defaultColWidth="9.140625" defaultRowHeight="15" x14ac:dyDescent="0.25"/>
  <cols>
    <col min="1" max="1" width="10.5703125" customWidth="1"/>
    <col min="2" max="2" width="10.7109375" customWidth="1"/>
    <col min="3" max="3" width="11.140625" style="285" bestFit="1" customWidth="1"/>
    <col min="4" max="4" width="13.140625" customWidth="1"/>
    <col min="5" max="5" width="12.28515625" style="21" customWidth="1"/>
    <col min="6" max="6" width="14.85546875" customWidth="1"/>
    <col min="7" max="7" width="15.28515625" style="21" customWidth="1"/>
    <col min="8" max="8" width="18.85546875" style="21" customWidth="1"/>
    <col min="9" max="9" width="21.5703125" style="21" customWidth="1"/>
    <col min="10" max="10" width="22" style="21" bestFit="1" customWidth="1"/>
    <col min="11" max="11" width="17.85546875" style="21" customWidth="1"/>
    <col min="12" max="12" width="18.140625" style="23" bestFit="1" customWidth="1"/>
    <col min="13" max="13" width="15" customWidth="1"/>
    <col min="14" max="14" width="12.5703125" customWidth="1"/>
    <col min="15" max="15" width="16.5703125" bestFit="1" customWidth="1"/>
    <col min="16" max="16" width="16.7109375" bestFit="1" customWidth="1"/>
    <col min="17" max="18" width="10.42578125" customWidth="1"/>
    <col min="19" max="19" width="14" customWidth="1"/>
    <col min="20" max="20" width="18" customWidth="1"/>
    <col min="21" max="21" width="11.28515625" customWidth="1"/>
    <col min="22" max="25" width="10.42578125" customWidth="1"/>
    <col min="26" max="26" width="14.140625" customWidth="1"/>
    <col min="27" max="28" width="14.28515625" bestFit="1" customWidth="1"/>
    <col min="29" max="33" width="10.42578125" customWidth="1"/>
    <col min="34" max="34" width="12.5703125" bestFit="1" customWidth="1"/>
    <col min="35" max="40" width="10.42578125" customWidth="1"/>
    <col min="41" max="41" width="15.85546875" bestFit="1" customWidth="1"/>
    <col min="42" max="46" width="10.42578125" customWidth="1"/>
  </cols>
  <sheetData>
    <row r="1" spans="1:44" ht="18" customHeight="1" x14ac:dyDescent="0.25">
      <c r="A1" t="s">
        <v>46</v>
      </c>
      <c r="B1" t="s">
        <v>42</v>
      </c>
      <c r="C1" t="s">
        <v>43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34</v>
      </c>
      <c r="J1" t="s">
        <v>52</v>
      </c>
      <c r="K1" t="s">
        <v>53</v>
      </c>
      <c r="L1" t="s">
        <v>54</v>
      </c>
      <c r="M1" t="s">
        <v>55</v>
      </c>
      <c r="N1" t="s">
        <v>56</v>
      </c>
      <c r="O1" t="s">
        <v>57</v>
      </c>
      <c r="P1" t="s">
        <v>73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  <c r="X1" t="s">
        <v>65</v>
      </c>
      <c r="Y1" t="s">
        <v>66</v>
      </c>
      <c r="Z1" t="s">
        <v>67</v>
      </c>
      <c r="AA1" t="s">
        <v>68</v>
      </c>
      <c r="AB1" t="s">
        <v>69</v>
      </c>
      <c r="AC1" t="s">
        <v>22</v>
      </c>
      <c r="AD1" t="s">
        <v>23</v>
      </c>
      <c r="AE1" t="s">
        <v>70</v>
      </c>
      <c r="AF1" t="s">
        <v>71</v>
      </c>
      <c r="AG1" t="s">
        <v>72</v>
      </c>
      <c r="AH1" t="s">
        <v>74</v>
      </c>
      <c r="AI1" t="s">
        <v>75</v>
      </c>
      <c r="AJ1" t="s">
        <v>76</v>
      </c>
      <c r="AK1" t="s">
        <v>77</v>
      </c>
      <c r="AL1" t="s">
        <v>78</v>
      </c>
      <c r="AM1" t="s">
        <v>79</v>
      </c>
      <c r="AN1" t="s">
        <v>80</v>
      </c>
      <c r="AO1" t="s">
        <v>81</v>
      </c>
      <c r="AP1" t="s">
        <v>82</v>
      </c>
      <c r="AQ1" t="s">
        <v>83</v>
      </c>
      <c r="AR1" t="s">
        <v>84</v>
      </c>
    </row>
    <row r="2" spans="1:44" x14ac:dyDescent="0.25">
      <c r="L2" s="24"/>
      <c r="M2" s="21"/>
      <c r="N2" s="21"/>
      <c r="O2" s="21"/>
    </row>
    <row r="3" spans="1:44" x14ac:dyDescent="0.25">
      <c r="L3" s="24"/>
      <c r="M3" s="21"/>
      <c r="N3" s="21"/>
      <c r="O3" s="21"/>
    </row>
    <row r="4" spans="1:44" x14ac:dyDescent="0.25">
      <c r="L4" s="24"/>
      <c r="M4" s="21"/>
      <c r="N4" s="21"/>
      <c r="O4" s="21"/>
    </row>
    <row r="5" spans="1:44" x14ac:dyDescent="0.25">
      <c r="L5" s="24"/>
      <c r="M5" s="21"/>
      <c r="N5" s="21"/>
      <c r="O5" s="21"/>
    </row>
    <row r="6" spans="1:44" x14ac:dyDescent="0.25">
      <c r="L6" s="24"/>
      <c r="M6" s="21"/>
      <c r="N6" s="21"/>
      <c r="O6" s="21"/>
    </row>
  </sheetData>
  <dataConsolidate/>
  <phoneticPr fontId="5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0AFAB-A049-42FC-B64F-C219291902E4}">
  <sheetPr codeName="Sheet127">
    <pageSetUpPr fitToPage="1"/>
  </sheetPr>
  <dimension ref="A1:R294"/>
  <sheetViews>
    <sheetView zoomScale="85" zoomScaleNormal="85" workbookViewId="0">
      <pane xSplit="2" ySplit="4" topLeftCell="C5" activePane="bottomRight" state="frozen"/>
      <selection activeCell="D9" sqref="D9"/>
      <selection pane="topRight" activeCell="D9" sqref="D9"/>
      <selection pane="bottomLeft" activeCell="D9" sqref="D9"/>
      <selection pane="bottomRight" activeCell="B3" sqref="B3"/>
    </sheetView>
  </sheetViews>
  <sheetFormatPr defaultColWidth="9.140625" defaultRowHeight="15" outlineLevelCol="1" x14ac:dyDescent="0.25"/>
  <cols>
    <col min="1" max="1" width="16.5703125" style="29" customWidth="1"/>
    <col min="2" max="2" width="33.42578125" style="29" customWidth="1"/>
    <col min="3" max="3" width="17.85546875" style="29" bestFit="1" customWidth="1"/>
    <col min="4" max="4" width="16.42578125" style="29" customWidth="1"/>
    <col min="5" max="5" width="17.28515625" style="29" customWidth="1"/>
    <col min="6" max="6" width="20.28515625" style="29" customWidth="1"/>
    <col min="7" max="7" width="21.5703125" style="29" customWidth="1"/>
    <col min="8" max="8" width="20.140625" style="29" customWidth="1"/>
    <col min="9" max="9" width="19.140625" style="29" customWidth="1"/>
    <col min="10" max="10" width="17.42578125" style="29" customWidth="1"/>
    <col min="11" max="11" width="27.42578125" style="29" customWidth="1" outlineLevel="1"/>
    <col min="12" max="12" width="25.42578125" style="29" customWidth="1" outlineLevel="1"/>
    <col min="13" max="13" width="23.42578125" style="29" customWidth="1" outlineLevel="1"/>
    <col min="14" max="14" width="18" style="29" customWidth="1" outlineLevel="1"/>
    <col min="15" max="15" width="17.42578125" style="29" customWidth="1" outlineLevel="1"/>
    <col min="16" max="16" width="106.5703125" style="29" customWidth="1"/>
    <col min="17" max="16384" width="9.140625" style="29"/>
  </cols>
  <sheetData>
    <row r="1" spans="1:18" ht="36.75" customHeight="1" thickBot="1" x14ac:dyDescent="0.3">
      <c r="A1" s="25"/>
      <c r="B1" s="441"/>
      <c r="C1" s="441"/>
      <c r="D1" s="393">
        <v>2022</v>
      </c>
      <c r="E1" s="27" t="str">
        <f>IF(AND(A2&lt;&gt;"*",F1),"Contract Break-Down Included", "")</f>
        <v/>
      </c>
      <c r="F1" s="1"/>
      <c r="G1" s="442"/>
      <c r="H1" s="442"/>
      <c r="I1" s="2"/>
      <c r="J1" s="2"/>
      <c r="K1" s="3"/>
      <c r="L1" s="3"/>
      <c r="M1" s="2"/>
      <c r="N1" s="4" t="b">
        <v>1</v>
      </c>
      <c r="O1" s="28"/>
    </row>
    <row r="2" spans="1:18" ht="30" customHeight="1" thickBot="1" x14ac:dyDescent="0.3">
      <c r="A2" s="30" t="s">
        <v>45</v>
      </c>
      <c r="B2" s="443" t="s">
        <v>90</v>
      </c>
      <c r="C2" s="444"/>
      <c r="D2" s="444"/>
      <c r="E2" s="445"/>
      <c r="F2" s="446"/>
      <c r="G2" s="447" t="s">
        <v>0</v>
      </c>
      <c r="H2" s="448"/>
      <c r="I2" s="449"/>
      <c r="J2" s="31" t="str">
        <f>IF(I1,"Over/Under
WIP Variance","")</f>
        <v/>
      </c>
      <c r="K2" s="462" t="s">
        <v>1</v>
      </c>
      <c r="L2" s="463"/>
      <c r="M2" s="450" t="s">
        <v>2</v>
      </c>
      <c r="N2" s="451"/>
      <c r="O2" s="452"/>
      <c r="P2" s="32"/>
      <c r="Q2" s="33"/>
      <c r="R2" s="33"/>
    </row>
    <row r="3" spans="1:18" ht="25.35" customHeight="1" thickBot="1" x14ac:dyDescent="0.3">
      <c r="A3" s="5"/>
      <c r="B3" s="22">
        <v>56403200</v>
      </c>
      <c r="C3" s="34"/>
      <c r="D3" s="34"/>
      <c r="E3" s="35" t="e">
        <v>#REF!</v>
      </c>
      <c r="F3" s="35"/>
      <c r="G3" s="36" t="e">
        <f>$G$5/$E$5</f>
        <v>#N/A</v>
      </c>
      <c r="H3" s="37">
        <v>0</v>
      </c>
      <c r="I3" s="38" t="e">
        <f>H3-G3</f>
        <v>#N/A</v>
      </c>
      <c r="J3" s="39" t="s">
        <v>44</v>
      </c>
      <c r="K3" s="40" t="e">
        <v>#REF!</v>
      </c>
      <c r="L3" s="41" t="e">
        <v>#REF!</v>
      </c>
      <c r="M3" s="42" t="e">
        <f>$L$5/$K$3</f>
        <v>#N/A</v>
      </c>
      <c r="N3" s="43">
        <v>0</v>
      </c>
      <c r="O3" s="6" t="e">
        <f>N3-M3</f>
        <v>#N/A</v>
      </c>
      <c r="P3" s="7"/>
      <c r="Q3" s="33"/>
      <c r="R3" s="33"/>
    </row>
    <row r="4" spans="1:18" ht="19.5" thickBot="1" x14ac:dyDescent="0.3">
      <c r="A4" s="44" t="s">
        <v>3</v>
      </c>
      <c r="B4" s="45" t="s">
        <v>4</v>
      </c>
      <c r="C4" s="46" t="s">
        <v>5</v>
      </c>
      <c r="D4" s="46" t="s">
        <v>6</v>
      </c>
      <c r="E4" s="47" t="s">
        <v>7</v>
      </c>
      <c r="F4" s="47" t="s">
        <v>8</v>
      </c>
      <c r="G4" s="45" t="s">
        <v>9</v>
      </c>
      <c r="H4" s="45" t="s">
        <v>10</v>
      </c>
      <c r="I4" s="48" t="s">
        <v>11</v>
      </c>
      <c r="J4" s="49" t="s">
        <v>12</v>
      </c>
      <c r="K4" s="50" t="s">
        <v>13</v>
      </c>
      <c r="L4" s="51" t="s">
        <v>14</v>
      </c>
      <c r="M4" s="51" t="s">
        <v>15</v>
      </c>
      <c r="N4" s="51" t="s">
        <v>16</v>
      </c>
      <c r="O4" s="51" t="s">
        <v>10</v>
      </c>
      <c r="P4" s="52" t="s">
        <v>17</v>
      </c>
    </row>
    <row r="5" spans="1:18" s="62" customFormat="1" ht="26.1" customHeight="1" x14ac:dyDescent="0.25">
      <c r="A5" s="453" t="s">
        <v>18</v>
      </c>
      <c r="B5" s="53" t="s">
        <v>18</v>
      </c>
      <c r="C5" s="292" t="e">
        <f>VLOOKUP(B3,DataInfo2[[jobNo]:[ST Hours]],2,0)</f>
        <v>#N/A</v>
      </c>
      <c r="D5" s="292" t="e">
        <f>VLOOKUP(B3,DataInfo2[[jobNo]:[OT Hours]],3,0)</f>
        <v>#N/A</v>
      </c>
      <c r="E5" s="293" t="e">
        <f>VLOOKUP(B3,DataInfo2[[jobNo]:[Total Hours]],4,0)</f>
        <v>#N/A</v>
      </c>
      <c r="F5" s="283" t="e">
        <f>VLOOKUP(B3,DataInfo2[[jobNo]:[Labor Cost]],5,0)</f>
        <v>#N/A</v>
      </c>
      <c r="G5" s="284" t="e">
        <f>VLOOKUP(B3,DataInfo[[jobNo]:[Total Hours]],4,0)</f>
        <v>#N/A</v>
      </c>
      <c r="H5" s="54">
        <f>IFERROR(F5-G5,0)</f>
        <v>0</v>
      </c>
      <c r="I5" s="55">
        <f>IFERROR(H5/$E$5,0)</f>
        <v>0</v>
      </c>
      <c r="J5" s="56"/>
      <c r="K5" s="57" t="e">
        <f>F5</f>
        <v>#N/A</v>
      </c>
      <c r="L5" s="58" t="e">
        <f>G5</f>
        <v>#N/A</v>
      </c>
      <c r="M5" s="59">
        <f>IFERROR(K5-L5,0)</f>
        <v>0</v>
      </c>
      <c r="N5" s="60">
        <f>IFERROR(M5/$E$3,0)</f>
        <v>0</v>
      </c>
      <c r="O5" s="61"/>
      <c r="P5" s="8"/>
    </row>
    <row r="6" spans="1:18" ht="26.1" customHeight="1" x14ac:dyDescent="0.25">
      <c r="A6" s="454"/>
      <c r="B6" s="63" t="s">
        <v>58</v>
      </c>
      <c r="C6" s="394" t="e">
        <f>HLOOKUP(B6,DataInfo2[#All], MATCH(B3,DataInfo2[jobNo],0)+1,FALSE)</f>
        <v>#N/A</v>
      </c>
      <c r="D6" s="394" t="e">
        <f>HLOOKUP("FICA P",DataInfo2[#All], MATCH(B3,DataInfo2[jobNo],0)+1,FALSE)</f>
        <v>#N/A</v>
      </c>
      <c r="E6" s="64"/>
      <c r="F6" s="9" t="e">
        <f>(C6*$C$5)+(D6*$D$5)</f>
        <v>#N/A</v>
      </c>
      <c r="G6" s="65"/>
      <c r="H6" s="66">
        <f t="shared" ref="H6:H26" si="0">IFERROR(F6-G6,0)</f>
        <v>0</v>
      </c>
      <c r="I6" s="67">
        <f t="shared" ref="I6:I25" si="1">IFERROR(H6/$E$26,0)</f>
        <v>0</v>
      </c>
      <c r="J6" s="68" t="e">
        <v>#REF!</v>
      </c>
      <c r="K6" s="69" t="e">
        <f>F6</f>
        <v>#N/A</v>
      </c>
      <c r="L6" s="70">
        <f>G6</f>
        <v>0</v>
      </c>
      <c r="M6" s="71">
        <f>IFERROR(K6-L6,0)</f>
        <v>0</v>
      </c>
      <c r="N6" s="72">
        <f>IFERROR(M6/$E$3,0)</f>
        <v>0</v>
      </c>
      <c r="O6" s="73"/>
      <c r="P6" s="10"/>
    </row>
    <row r="7" spans="1:18" ht="26.1" customHeight="1" x14ac:dyDescent="0.25">
      <c r="A7" s="454"/>
      <c r="B7" s="63" t="s">
        <v>59</v>
      </c>
      <c r="C7" s="394" t="e">
        <f>HLOOKUP(B7,DataInfo2[#All], MATCH(B3,DataInfo2[jobNo],0)+1,FALSE)</f>
        <v>#N/A</v>
      </c>
      <c r="D7" s="394" t="e">
        <f>HLOOKUP("FUI P",DataInfo2[#All], MATCH(B3,DataInfo2[jobNo],0)+1,FALSE)</f>
        <v>#N/A</v>
      </c>
      <c r="E7" s="74"/>
      <c r="F7" s="9" t="e">
        <f>(C7*$C$5)+(D7*$D$5)</f>
        <v>#N/A</v>
      </c>
      <c r="G7" s="65"/>
      <c r="H7" s="66">
        <f>IFERROR(F7-G7,0)</f>
        <v>0</v>
      </c>
      <c r="I7" s="67">
        <f>IFERROR(H7/$E$26,0)</f>
        <v>0</v>
      </c>
      <c r="J7" s="75"/>
      <c r="K7" s="69" t="e">
        <f>F7</f>
        <v>#N/A</v>
      </c>
      <c r="L7" s="70">
        <f t="shared" ref="L7:L25" si="2">G7</f>
        <v>0</v>
      </c>
      <c r="M7" s="71">
        <f>IFERROR(K7-L7,0)</f>
        <v>0</v>
      </c>
      <c r="N7" s="72">
        <f t="shared" ref="N7:N25" si="3">IFERROR(M7/$E$3,0)</f>
        <v>0</v>
      </c>
      <c r="O7" s="73"/>
      <c r="P7" s="10"/>
    </row>
    <row r="8" spans="1:18" ht="26.1" customHeight="1" x14ac:dyDescent="0.25">
      <c r="A8" s="454"/>
      <c r="B8" s="63" t="s">
        <v>60</v>
      </c>
      <c r="C8" s="394" t="e">
        <f>HLOOKUP(B8,DataInfo2[#All], MATCH(B3,DataInfo2[jobNo],0)+1,FALSE)</f>
        <v>#N/A</v>
      </c>
      <c r="D8" s="394" t="e">
        <f>HLOOKUP("SUI P",DataInfo2[#All], MATCH(B3,DataInfo2[jobNo],0)+1,FALSE)</f>
        <v>#N/A</v>
      </c>
      <c r="E8" s="76"/>
      <c r="F8" s="9" t="e">
        <f>(C8*$C$5)+(D8*$D$5)</f>
        <v>#N/A</v>
      </c>
      <c r="G8" s="65"/>
      <c r="H8" s="66">
        <f>IFERROR(F8-G8,0)</f>
        <v>0</v>
      </c>
      <c r="I8" s="67">
        <f t="shared" si="1"/>
        <v>0</v>
      </c>
      <c r="J8" s="75"/>
      <c r="K8" s="69" t="e">
        <f t="shared" ref="K8:K25" si="4">F8</f>
        <v>#N/A</v>
      </c>
      <c r="L8" s="70">
        <f t="shared" si="2"/>
        <v>0</v>
      </c>
      <c r="M8" s="71">
        <f t="shared" ref="M8:M25" si="5">IFERROR(K8-L8,0)</f>
        <v>0</v>
      </c>
      <c r="N8" s="72">
        <f t="shared" si="3"/>
        <v>0</v>
      </c>
      <c r="O8" s="73"/>
      <c r="P8" s="10"/>
    </row>
    <row r="9" spans="1:18" ht="30.75" customHeight="1" x14ac:dyDescent="0.25">
      <c r="A9" s="454"/>
      <c r="B9" s="77" t="s">
        <v>61</v>
      </c>
      <c r="C9" s="394" t="e">
        <f>HLOOKUP(B9,DataInfo2[#All], MATCH(B3,DataInfo2[jobNo],0)+1,FALSE)</f>
        <v>#N/A</v>
      </c>
      <c r="D9" s="394" t="e">
        <f>HLOOKUP("WC P",DataInfo2[#All], MATCH(B3,DataInfo2[jobNo],0)+1,FALSE)</f>
        <v>#N/A</v>
      </c>
      <c r="E9" s="76"/>
      <c r="F9" s="9" t="e">
        <f>(C9*$C$5)+(D9*$D$5)</f>
        <v>#N/A</v>
      </c>
      <c r="G9" s="65"/>
      <c r="H9" s="66">
        <f>IFERROR(F9-G9,0)</f>
        <v>0</v>
      </c>
      <c r="I9" s="67">
        <f t="shared" si="1"/>
        <v>0</v>
      </c>
      <c r="J9" s="75"/>
      <c r="K9" s="69" t="e">
        <f t="shared" si="4"/>
        <v>#N/A</v>
      </c>
      <c r="L9" s="70">
        <f t="shared" si="2"/>
        <v>0</v>
      </c>
      <c r="M9" s="71">
        <f t="shared" si="5"/>
        <v>0</v>
      </c>
      <c r="N9" s="72">
        <f t="shared" si="3"/>
        <v>0</v>
      </c>
      <c r="O9" s="73"/>
      <c r="P9" s="10"/>
    </row>
    <row r="10" spans="1:18" ht="26.1" customHeight="1" x14ac:dyDescent="0.25">
      <c r="A10" s="454"/>
      <c r="B10" s="77" t="s">
        <v>62</v>
      </c>
      <c r="C10" s="394" t="e">
        <f>HLOOKUP(B10,DataInfo2[#All], MATCH(B3,DataInfo2[jobNo],0)+1,FALSE)</f>
        <v>#N/A</v>
      </c>
      <c r="D10" s="394" t="e">
        <f>HLOOKUP("Gen Liab P",DataInfo2[#All], MATCH(B3,DataInfo2[jobNo],0)+1,FALSE)</f>
        <v>#N/A</v>
      </c>
      <c r="E10" s="76"/>
      <c r="F10" s="9" t="e">
        <f>(C10*$C$5)+(D10*$D$5)</f>
        <v>#N/A</v>
      </c>
      <c r="G10" s="65"/>
      <c r="H10" s="66">
        <f>IFERROR(F10-G10,0)</f>
        <v>0</v>
      </c>
      <c r="I10" s="67">
        <f t="shared" si="1"/>
        <v>0</v>
      </c>
      <c r="J10" s="75"/>
      <c r="K10" s="69" t="e">
        <f t="shared" si="4"/>
        <v>#N/A</v>
      </c>
      <c r="L10" s="70">
        <f t="shared" si="2"/>
        <v>0</v>
      </c>
      <c r="M10" s="71">
        <f t="shared" si="5"/>
        <v>0</v>
      </c>
      <c r="N10" s="72">
        <f t="shared" si="3"/>
        <v>0</v>
      </c>
      <c r="O10" s="73"/>
      <c r="P10" s="10"/>
    </row>
    <row r="11" spans="1:18" ht="26.1" customHeight="1" x14ac:dyDescent="0.25">
      <c r="A11" s="454"/>
      <c r="B11" s="63" t="s">
        <v>63</v>
      </c>
      <c r="C11" s="394" t="e">
        <f>HLOOKUP(B11,DataInfo2[#All], MATCH(B3,DataInfo2[jobNo],0)+1,FALSE)</f>
        <v>#N/A</v>
      </c>
      <c r="D11" s="394" t="e">
        <f>HLOOKUP("Umbr P",DataInfo2[#All], MATCH(B3,DataInfo2[jobNo],0)+1,FALSE)</f>
        <v>#N/A</v>
      </c>
      <c r="E11" s="76"/>
      <c r="F11" s="9" t="e">
        <f t="shared" ref="F11:F25" si="6">(C11*$C$5)+(D11*$D$5)</f>
        <v>#N/A</v>
      </c>
      <c r="G11" s="65"/>
      <c r="H11" s="66">
        <f t="shared" si="0"/>
        <v>0</v>
      </c>
      <c r="I11" s="67">
        <f t="shared" si="1"/>
        <v>0</v>
      </c>
      <c r="J11" s="75"/>
      <c r="K11" s="69" t="e">
        <f t="shared" si="4"/>
        <v>#N/A</v>
      </c>
      <c r="L11" s="70">
        <f t="shared" si="2"/>
        <v>0</v>
      </c>
      <c r="M11" s="71">
        <f t="shared" si="5"/>
        <v>0</v>
      </c>
      <c r="N11" s="72">
        <f t="shared" si="3"/>
        <v>0</v>
      </c>
      <c r="O11" s="73"/>
      <c r="P11" s="10"/>
    </row>
    <row r="12" spans="1:18" ht="26.1" customHeight="1" x14ac:dyDescent="0.25">
      <c r="A12" s="454"/>
      <c r="B12" s="63" t="s">
        <v>64</v>
      </c>
      <c r="C12" s="394" t="e">
        <f>HLOOKUP(B12,DataInfo2[#All], MATCH(B3,DataInfo2[jobNo],0)+1,FALSE)</f>
        <v>#N/A</v>
      </c>
      <c r="D12" s="394" t="e">
        <f>HLOOKUP("Pollution P",DataInfo2[#All], MATCH(B3,DataInfo2[jobNo],0)+1,FALSE)</f>
        <v>#N/A</v>
      </c>
      <c r="E12" s="76"/>
      <c r="F12" s="9" t="e">
        <f t="shared" si="6"/>
        <v>#N/A</v>
      </c>
      <c r="G12" s="65"/>
      <c r="H12" s="66">
        <f t="shared" si="0"/>
        <v>0</v>
      </c>
      <c r="I12" s="67">
        <f t="shared" si="1"/>
        <v>0</v>
      </c>
      <c r="J12" s="75"/>
      <c r="K12" s="69" t="e">
        <f t="shared" si="4"/>
        <v>#N/A</v>
      </c>
      <c r="L12" s="70">
        <f t="shared" si="2"/>
        <v>0</v>
      </c>
      <c r="M12" s="71">
        <f t="shared" si="5"/>
        <v>0</v>
      </c>
      <c r="N12" s="72">
        <f t="shared" si="3"/>
        <v>0</v>
      </c>
      <c r="O12" s="73"/>
      <c r="P12" s="10"/>
    </row>
    <row r="13" spans="1:18" ht="26.1" customHeight="1" x14ac:dyDescent="0.25">
      <c r="A13" s="454"/>
      <c r="B13" s="63" t="s">
        <v>65</v>
      </c>
      <c r="C13" s="394" t="e">
        <f>HLOOKUP(B13,DataInfo2[#All], MATCH(B3,DataInfo2[jobNo],0)+1,FALSE)</f>
        <v>#N/A</v>
      </c>
      <c r="D13" s="394" t="e">
        <f>HLOOKUP("Healt P",DataInfo2[#All], MATCH(B3,DataInfo2[jobNo],0)+1,FALSE)</f>
        <v>#N/A</v>
      </c>
      <c r="E13" s="76" t="s">
        <v>19</v>
      </c>
      <c r="F13" s="9" t="e">
        <f t="shared" si="6"/>
        <v>#N/A</v>
      </c>
      <c r="G13" s="65"/>
      <c r="H13" s="66">
        <f t="shared" si="0"/>
        <v>0</v>
      </c>
      <c r="I13" s="67">
        <f t="shared" si="1"/>
        <v>0</v>
      </c>
      <c r="J13" s="75"/>
      <c r="K13" s="69" t="e">
        <f t="shared" si="4"/>
        <v>#N/A</v>
      </c>
      <c r="L13" s="70">
        <f t="shared" si="2"/>
        <v>0</v>
      </c>
      <c r="M13" s="71">
        <f t="shared" si="5"/>
        <v>0</v>
      </c>
      <c r="N13" s="72">
        <f t="shared" si="3"/>
        <v>0</v>
      </c>
      <c r="O13" s="73"/>
      <c r="P13" s="10"/>
    </row>
    <row r="14" spans="1:18" ht="26.1" customHeight="1" x14ac:dyDescent="0.25">
      <c r="A14" s="454"/>
      <c r="B14" s="63" t="s">
        <v>66</v>
      </c>
      <c r="C14" s="394" t="e">
        <f>HLOOKUP(B14,DataInfo2[#All], MATCH(B3,DataInfo2[jobNo],0)+1,FALSE)</f>
        <v>#N/A</v>
      </c>
      <c r="D14" s="394" t="e">
        <f>HLOOKUP("Fringe P",DataInfo2[#All], MATCH(B3,DataInfo2[jobNo],0)+1,FALSE)</f>
        <v>#N/A</v>
      </c>
      <c r="E14" s="78"/>
      <c r="F14" s="9" t="e">
        <f t="shared" si="6"/>
        <v>#N/A</v>
      </c>
      <c r="G14" s="65"/>
      <c r="H14" s="66">
        <f t="shared" si="0"/>
        <v>0</v>
      </c>
      <c r="I14" s="67">
        <f t="shared" si="1"/>
        <v>0</v>
      </c>
      <c r="J14" s="75"/>
      <c r="K14" s="69" t="e">
        <f t="shared" si="4"/>
        <v>#N/A</v>
      </c>
      <c r="L14" s="70">
        <f t="shared" si="2"/>
        <v>0</v>
      </c>
      <c r="M14" s="71">
        <f t="shared" si="5"/>
        <v>0</v>
      </c>
      <c r="N14" s="72">
        <f t="shared" si="3"/>
        <v>0</v>
      </c>
      <c r="O14" s="73"/>
      <c r="P14" s="10"/>
    </row>
    <row r="15" spans="1:18" ht="26.1" customHeight="1" x14ac:dyDescent="0.25">
      <c r="A15" s="454"/>
      <c r="B15" s="63" t="s">
        <v>67</v>
      </c>
      <c r="C15" s="394" t="e">
        <f>HLOOKUP(B15,DataInfo2[#All], MATCH(B3,DataInfo2[jobNo],0)+1,FALSE)</f>
        <v>#N/A</v>
      </c>
      <c r="D15" s="394" t="e">
        <f>HLOOKUP("Small P",DataInfo2[#All], MATCH(B3,DataInfo2[jobNo],0)+1,FALSE)</f>
        <v>#N/A</v>
      </c>
      <c r="E15" s="76"/>
      <c r="F15" s="9" t="e">
        <f t="shared" si="6"/>
        <v>#N/A</v>
      </c>
      <c r="G15" s="65"/>
      <c r="H15" s="66">
        <f t="shared" si="0"/>
        <v>0</v>
      </c>
      <c r="I15" s="67">
        <f t="shared" si="1"/>
        <v>0</v>
      </c>
      <c r="J15" s="75"/>
      <c r="K15" s="69" t="e">
        <f t="shared" si="4"/>
        <v>#N/A</v>
      </c>
      <c r="L15" s="70">
        <f t="shared" si="2"/>
        <v>0</v>
      </c>
      <c r="M15" s="71">
        <f t="shared" si="5"/>
        <v>0</v>
      </c>
      <c r="N15" s="72">
        <f t="shared" si="3"/>
        <v>0</v>
      </c>
      <c r="O15" s="73"/>
      <c r="P15" s="10"/>
    </row>
    <row r="16" spans="1:18" ht="26.1" customHeight="1" x14ac:dyDescent="0.25">
      <c r="A16" s="454"/>
      <c r="B16" s="63" t="s">
        <v>68</v>
      </c>
      <c r="C16" s="394" t="e">
        <f>HLOOKUP(B16,DataInfo2[#All], MATCH(B3,DataInfo2[jobNo],0)+1,FALSE)</f>
        <v>#N/A</v>
      </c>
      <c r="D16" s="394" t="e">
        <f>HLOOKUP("PPE P",DataInfo2[#All], MATCH(B3,DataInfo2[jobNo],0)+1,FALSE)</f>
        <v>#N/A</v>
      </c>
      <c r="E16" s="76" t="s">
        <v>19</v>
      </c>
      <c r="F16" s="9" t="e">
        <f t="shared" si="6"/>
        <v>#N/A</v>
      </c>
      <c r="G16" s="65"/>
      <c r="H16" s="66">
        <f t="shared" si="0"/>
        <v>0</v>
      </c>
      <c r="I16" s="67">
        <f t="shared" si="1"/>
        <v>0</v>
      </c>
      <c r="J16" s="75"/>
      <c r="K16" s="69" t="e">
        <f t="shared" si="4"/>
        <v>#N/A</v>
      </c>
      <c r="L16" s="70">
        <f t="shared" si="2"/>
        <v>0</v>
      </c>
      <c r="M16" s="71">
        <f t="shared" si="5"/>
        <v>0</v>
      </c>
      <c r="N16" s="72">
        <f t="shared" si="3"/>
        <v>0</v>
      </c>
      <c r="O16" s="73"/>
      <c r="P16" s="11"/>
    </row>
    <row r="17" spans="1:16" ht="26.1" customHeight="1" x14ac:dyDescent="0.25">
      <c r="A17" s="454"/>
      <c r="B17" s="63" t="s">
        <v>69</v>
      </c>
      <c r="C17" s="394" t="e">
        <f>HLOOKUP(B17,DataInfo2[#All], MATCH(B3,DataInfo2[jobNo],0)+1,FALSE)</f>
        <v>#N/A</v>
      </c>
      <c r="D17" s="394" t="e">
        <f>HLOOKUP("Consumable P",DataInfo2[#All], MATCH(B3,DataInfo2[jobNo],0)+1,FALSE)</f>
        <v>#N/A</v>
      </c>
      <c r="E17" s="76" t="s">
        <v>19</v>
      </c>
      <c r="F17" s="9" t="e">
        <f t="shared" si="6"/>
        <v>#N/A</v>
      </c>
      <c r="G17" s="65"/>
      <c r="H17" s="66">
        <f t="shared" si="0"/>
        <v>0</v>
      </c>
      <c r="I17" s="67">
        <f t="shared" si="1"/>
        <v>0</v>
      </c>
      <c r="J17" s="75"/>
      <c r="K17" s="69" t="e">
        <f t="shared" si="4"/>
        <v>#N/A</v>
      </c>
      <c r="L17" s="70">
        <f t="shared" si="2"/>
        <v>0</v>
      </c>
      <c r="M17" s="71">
        <f t="shared" si="5"/>
        <v>0</v>
      </c>
      <c r="N17" s="72">
        <f t="shared" si="3"/>
        <v>0</v>
      </c>
      <c r="O17" s="73"/>
      <c r="P17" s="11"/>
    </row>
    <row r="18" spans="1:16" ht="26.1" customHeight="1" x14ac:dyDescent="0.25">
      <c r="A18" s="454"/>
      <c r="B18" s="63" t="s">
        <v>22</v>
      </c>
      <c r="C18" s="394" t="e">
        <f>HLOOKUP(B18,DataInfo2[#All], MATCH(B3,DataInfo2[jobNo],0)+1,FALSE)</f>
        <v>#N/A</v>
      </c>
      <c r="D18" s="394" t="e">
        <f>HLOOKUP("Overhead P",DataInfo2[#All], MATCH(B3,DataInfo2[jobNo],0)+1,FALSE)</f>
        <v>#N/A</v>
      </c>
      <c r="E18" s="76" t="s">
        <v>19</v>
      </c>
      <c r="F18" s="9" t="e">
        <f t="shared" si="6"/>
        <v>#N/A</v>
      </c>
      <c r="G18" s="65"/>
      <c r="H18" s="66">
        <f t="shared" si="0"/>
        <v>0</v>
      </c>
      <c r="I18" s="67">
        <f t="shared" si="1"/>
        <v>0</v>
      </c>
      <c r="J18" s="75"/>
      <c r="K18" s="69" t="e">
        <f t="shared" si="4"/>
        <v>#N/A</v>
      </c>
      <c r="L18" s="70">
        <f t="shared" si="2"/>
        <v>0</v>
      </c>
      <c r="M18" s="71">
        <f t="shared" si="5"/>
        <v>0</v>
      </c>
      <c r="N18" s="72">
        <f t="shared" si="3"/>
        <v>0</v>
      </c>
      <c r="O18" s="73"/>
      <c r="P18" s="11"/>
    </row>
    <row r="19" spans="1:16" ht="26.1" customHeight="1" x14ac:dyDescent="0.25">
      <c r="A19" s="454"/>
      <c r="B19" s="63" t="s">
        <v>23</v>
      </c>
      <c r="C19" s="394" t="e">
        <f>HLOOKUP(B19,DataInfo2[#All], MATCH(B3,DataInfo2[jobNo],0)+1,FALSE)</f>
        <v>#N/A</v>
      </c>
      <c r="D19" s="394" t="e">
        <f>HLOOKUP("Profit P",DataInfo2[#All], MATCH(B3,DataInfo2[jobNo],0)+1,FALSE)</f>
        <v>#N/A</v>
      </c>
      <c r="E19" s="76" t="s">
        <v>19</v>
      </c>
      <c r="F19" s="9" t="e">
        <f t="shared" si="6"/>
        <v>#N/A</v>
      </c>
      <c r="G19" s="65"/>
      <c r="H19" s="66">
        <f t="shared" si="0"/>
        <v>0</v>
      </c>
      <c r="I19" s="79">
        <f>IFERROR(H19/$E$26,0)</f>
        <v>0</v>
      </c>
      <c r="J19" s="75"/>
      <c r="K19" s="69" t="e">
        <f>F19</f>
        <v>#N/A</v>
      </c>
      <c r="L19" s="70">
        <f t="shared" si="2"/>
        <v>0</v>
      </c>
      <c r="M19" s="71">
        <f t="shared" si="5"/>
        <v>0</v>
      </c>
      <c r="N19" s="72">
        <f t="shared" si="3"/>
        <v>0</v>
      </c>
      <c r="O19" s="73"/>
      <c r="P19" s="11"/>
    </row>
    <row r="20" spans="1:16" ht="26.1" customHeight="1" x14ac:dyDescent="0.25">
      <c r="A20" s="454"/>
      <c r="B20" s="63"/>
      <c r="C20" s="394"/>
      <c r="D20" s="394"/>
      <c r="E20" s="76"/>
      <c r="F20" s="9" t="e">
        <f>(C20*$C$5)+(D20*$D$5)</f>
        <v>#N/A</v>
      </c>
      <c r="G20" s="65"/>
      <c r="H20" s="66">
        <f t="shared" si="0"/>
        <v>0</v>
      </c>
      <c r="I20" s="67">
        <f t="shared" si="1"/>
        <v>0</v>
      </c>
      <c r="J20" s="75"/>
      <c r="K20" s="69" t="e">
        <f t="shared" si="4"/>
        <v>#N/A</v>
      </c>
      <c r="L20" s="70">
        <f t="shared" si="2"/>
        <v>0</v>
      </c>
      <c r="M20" s="71">
        <f t="shared" si="5"/>
        <v>0</v>
      </c>
      <c r="N20" s="72">
        <f t="shared" si="3"/>
        <v>0</v>
      </c>
      <c r="O20" s="73"/>
      <c r="P20" s="11"/>
    </row>
    <row r="21" spans="1:16" ht="26.1" customHeight="1" x14ac:dyDescent="0.25">
      <c r="A21" s="454"/>
      <c r="B21" s="80"/>
      <c r="C21" s="394"/>
      <c r="D21" s="394"/>
      <c r="E21" s="76"/>
      <c r="F21" s="9" t="e">
        <f>(C21*$C$5)+(D21*$D$5)</f>
        <v>#N/A</v>
      </c>
      <c r="G21" s="65"/>
      <c r="H21" s="66">
        <f t="shared" si="0"/>
        <v>0</v>
      </c>
      <c r="I21" s="67">
        <f t="shared" si="1"/>
        <v>0</v>
      </c>
      <c r="J21" s="75"/>
      <c r="K21" s="69" t="e">
        <f t="shared" si="4"/>
        <v>#N/A</v>
      </c>
      <c r="L21" s="70">
        <f t="shared" si="2"/>
        <v>0</v>
      </c>
      <c r="M21" s="71">
        <f t="shared" si="5"/>
        <v>0</v>
      </c>
      <c r="N21" s="72">
        <f t="shared" si="3"/>
        <v>0</v>
      </c>
      <c r="O21" s="73"/>
      <c r="P21" s="11"/>
    </row>
    <row r="22" spans="1:16" ht="26.1" customHeight="1" x14ac:dyDescent="0.25">
      <c r="A22" s="454"/>
      <c r="B22" s="80"/>
      <c r="C22" s="394"/>
      <c r="D22" s="394"/>
      <c r="E22" s="76"/>
      <c r="F22" s="9" t="e">
        <f>(C22*$C$5)+(D22*$D$5)</f>
        <v>#N/A</v>
      </c>
      <c r="G22" s="65"/>
      <c r="H22" s="66">
        <f t="shared" si="0"/>
        <v>0</v>
      </c>
      <c r="I22" s="67">
        <f t="shared" si="1"/>
        <v>0</v>
      </c>
      <c r="J22" s="75"/>
      <c r="K22" s="69" t="e">
        <f t="shared" si="4"/>
        <v>#N/A</v>
      </c>
      <c r="L22" s="70">
        <f t="shared" si="2"/>
        <v>0</v>
      </c>
      <c r="M22" s="71">
        <f t="shared" si="5"/>
        <v>0</v>
      </c>
      <c r="N22" s="72">
        <f t="shared" si="3"/>
        <v>0</v>
      </c>
      <c r="O22" s="73"/>
      <c r="P22" s="11"/>
    </row>
    <row r="23" spans="1:16" ht="26.1" customHeight="1" x14ac:dyDescent="0.25">
      <c r="A23" s="454"/>
      <c r="B23" s="80"/>
      <c r="C23" s="395"/>
      <c r="D23" s="395"/>
      <c r="E23" s="76"/>
      <c r="F23" s="9" t="e">
        <f t="shared" si="6"/>
        <v>#N/A</v>
      </c>
      <c r="G23" s="65"/>
      <c r="H23" s="66">
        <f t="shared" si="0"/>
        <v>0</v>
      </c>
      <c r="I23" s="67">
        <f t="shared" si="1"/>
        <v>0</v>
      </c>
      <c r="J23" s="75"/>
      <c r="K23" s="69" t="e">
        <f t="shared" si="4"/>
        <v>#N/A</v>
      </c>
      <c r="L23" s="70">
        <f t="shared" si="2"/>
        <v>0</v>
      </c>
      <c r="M23" s="71"/>
      <c r="N23" s="72"/>
      <c r="O23" s="73"/>
      <c r="P23" s="11"/>
    </row>
    <row r="24" spans="1:16" ht="26.1" customHeight="1" x14ac:dyDescent="0.25">
      <c r="A24" s="454"/>
      <c r="B24" s="80"/>
      <c r="C24" s="395"/>
      <c r="D24" s="395"/>
      <c r="E24" s="76"/>
      <c r="F24" s="9" t="e">
        <f t="shared" si="6"/>
        <v>#N/A</v>
      </c>
      <c r="G24" s="65"/>
      <c r="H24" s="66">
        <f t="shared" si="0"/>
        <v>0</v>
      </c>
      <c r="I24" s="67">
        <f t="shared" si="1"/>
        <v>0</v>
      </c>
      <c r="J24" s="75"/>
      <c r="K24" s="69" t="e">
        <f t="shared" si="4"/>
        <v>#N/A</v>
      </c>
      <c r="L24" s="70">
        <f>G24</f>
        <v>0</v>
      </c>
      <c r="M24" s="71">
        <f t="shared" si="5"/>
        <v>0</v>
      </c>
      <c r="N24" s="72">
        <f t="shared" si="3"/>
        <v>0</v>
      </c>
      <c r="O24" s="73"/>
      <c r="P24" s="11"/>
    </row>
    <row r="25" spans="1:16" ht="21.75" customHeight="1" thickBot="1" x14ac:dyDescent="0.3">
      <c r="A25" s="455"/>
      <c r="B25" s="80"/>
      <c r="C25" s="395"/>
      <c r="D25" s="396"/>
      <c r="E25" s="76"/>
      <c r="F25" s="9" t="e">
        <f t="shared" si="6"/>
        <v>#N/A</v>
      </c>
      <c r="G25" s="65"/>
      <c r="H25" s="66">
        <f t="shared" si="0"/>
        <v>0</v>
      </c>
      <c r="I25" s="67">
        <f t="shared" si="1"/>
        <v>0</v>
      </c>
      <c r="J25" s="81"/>
      <c r="K25" s="69" t="e">
        <f t="shared" si="4"/>
        <v>#N/A</v>
      </c>
      <c r="L25" s="70">
        <f t="shared" si="2"/>
        <v>0</v>
      </c>
      <c r="M25" s="71">
        <f t="shared" si="5"/>
        <v>0</v>
      </c>
      <c r="N25" s="72">
        <f t="shared" si="3"/>
        <v>0</v>
      </c>
      <c r="O25" s="82"/>
      <c r="P25" s="11"/>
    </row>
    <row r="26" spans="1:16" ht="25.35" customHeight="1" thickTop="1" thickBot="1" x14ac:dyDescent="0.35">
      <c r="A26" s="456" t="s">
        <v>24</v>
      </c>
      <c r="B26" s="457"/>
      <c r="C26" s="83" t="e">
        <f>SUM(PRODUCT(SUM(C6:C25),$G$3),$G$3)</f>
        <v>#N/A</v>
      </c>
      <c r="D26" s="84" t="e">
        <f>SUM(PRODUCT(SUM(D6:D25),$G$3),$H$3)</f>
        <v>#N/A</v>
      </c>
      <c r="E26" s="85" t="e">
        <f>SUM(E5:E25)</f>
        <v>#N/A</v>
      </c>
      <c r="F26" s="86">
        <f>IFERROR(SUM(F5:F25),0)</f>
        <v>0</v>
      </c>
      <c r="G26" s="86" t="e">
        <f>SUM(G5:G23)</f>
        <v>#N/A</v>
      </c>
      <c r="H26" s="87">
        <f t="shared" si="0"/>
        <v>0</v>
      </c>
      <c r="I26" s="88">
        <f>IFERROR(H26/$E$58,0)</f>
        <v>0</v>
      </c>
      <c r="J26" s="89">
        <f>IFERROR(H26/F26,0)</f>
        <v>0</v>
      </c>
      <c r="K26" s="90" t="e">
        <f>SUM(K5:K25)</f>
        <v>#N/A</v>
      </c>
      <c r="L26" s="91" t="e">
        <f>SUM(L5:L23)</f>
        <v>#N/A</v>
      </c>
      <c r="M26" s="92">
        <f>IFERROR(K26-L26,0)</f>
        <v>0</v>
      </c>
      <c r="N26" s="93">
        <f>IFERROR(M26/K26,0)</f>
        <v>0</v>
      </c>
      <c r="O26" s="94">
        <f>IFERROR(M26/K26,0)</f>
        <v>0</v>
      </c>
      <c r="P26" s="12"/>
    </row>
    <row r="27" spans="1:16" ht="5.25" customHeight="1" x14ac:dyDescent="0.3">
      <c r="A27" s="95"/>
      <c r="B27" s="96"/>
      <c r="C27" s="96"/>
      <c r="D27" s="96"/>
      <c r="E27" s="97"/>
      <c r="F27" s="97"/>
      <c r="G27" s="98"/>
      <c r="H27" s="99"/>
      <c r="I27" s="100"/>
      <c r="J27" s="101"/>
      <c r="K27" s="102"/>
      <c r="L27" s="103"/>
      <c r="M27" s="104"/>
      <c r="N27" s="105"/>
      <c r="O27" s="106"/>
      <c r="P27" s="12"/>
    </row>
    <row r="28" spans="1:16" ht="67.349999999999994" customHeight="1" thickBot="1" x14ac:dyDescent="0.35">
      <c r="A28" s="458" t="s">
        <v>25</v>
      </c>
      <c r="B28" s="107" t="s">
        <v>18</v>
      </c>
      <c r="C28" s="107"/>
      <c r="D28" s="107"/>
      <c r="E28" s="108"/>
      <c r="F28" s="109" t="e">
        <f>VLOOKUP(B3,DataInfo2[[jobNo]:[Subcontract Cost]],12,0)</f>
        <v>#N/A</v>
      </c>
      <c r="G28" s="109"/>
      <c r="H28" s="110">
        <f>IFERROR(F28-G28,0)</f>
        <v>0</v>
      </c>
      <c r="I28" s="111">
        <f>IFERROR(H28/$E$30,0)</f>
        <v>0</v>
      </c>
      <c r="J28" s="13" t="s">
        <v>19</v>
      </c>
      <c r="K28" s="112"/>
      <c r="L28" s="113"/>
      <c r="M28" s="114">
        <f>IFERROR(K28-L28,0)</f>
        <v>0</v>
      </c>
      <c r="N28" s="115">
        <f>IFERROR(M28/$E$3,0)</f>
        <v>0</v>
      </c>
      <c r="O28" s="14" t="s">
        <v>19</v>
      </c>
      <c r="P28" s="11"/>
    </row>
    <row r="29" spans="1:16" ht="2.25" customHeight="1" thickTop="1" thickBot="1" x14ac:dyDescent="0.35">
      <c r="A29" s="459"/>
      <c r="B29" s="116"/>
      <c r="C29" s="117"/>
      <c r="D29" s="117"/>
      <c r="E29" s="118"/>
      <c r="F29" s="119"/>
      <c r="G29" s="119"/>
      <c r="H29" s="120"/>
      <c r="I29" s="121"/>
      <c r="J29" s="13"/>
      <c r="K29" s="122"/>
      <c r="L29" s="123"/>
      <c r="M29" s="124"/>
      <c r="N29" s="125"/>
      <c r="O29" s="15"/>
      <c r="P29" s="11"/>
    </row>
    <row r="30" spans="1:16" ht="25.35" customHeight="1" thickTop="1" thickBot="1" x14ac:dyDescent="0.35">
      <c r="A30" s="460" t="s">
        <v>26</v>
      </c>
      <c r="B30" s="461"/>
      <c r="C30" s="290"/>
      <c r="D30" s="290"/>
      <c r="E30" s="126">
        <f>SUM(E28)</f>
        <v>0</v>
      </c>
      <c r="F30" s="127" t="e">
        <f>SUM(F28:F29)</f>
        <v>#N/A</v>
      </c>
      <c r="G30" s="127">
        <f>SUM(G28:G29)</f>
        <v>0</v>
      </c>
      <c r="H30" s="128">
        <f>IFERROR(F30-G30,0)</f>
        <v>0</v>
      </c>
      <c r="I30" s="129">
        <f>IFERROR(H30/$E$58,0)</f>
        <v>0</v>
      </c>
      <c r="J30" s="130">
        <f>IFERROR(H30/F30,0)</f>
        <v>0</v>
      </c>
      <c r="K30" s="131">
        <f>SUM(K28:K29)</f>
        <v>0</v>
      </c>
      <c r="L30" s="132">
        <f>SUM(L28:L29)</f>
        <v>0</v>
      </c>
      <c r="M30" s="133">
        <f>IFERROR(K30-L30,0)</f>
        <v>0</v>
      </c>
      <c r="N30" s="134">
        <f>IFERROR(M30/$E$3,0)</f>
        <v>0</v>
      </c>
      <c r="O30" s="135">
        <f>IFERROR(M30/K30,0)</f>
        <v>0</v>
      </c>
      <c r="P30" s="11"/>
    </row>
    <row r="31" spans="1:16" ht="2.1" customHeight="1" x14ac:dyDescent="0.3">
      <c r="A31" s="95"/>
      <c r="B31" s="96"/>
      <c r="C31" s="96"/>
      <c r="D31" s="96"/>
      <c r="E31" s="97"/>
      <c r="F31" s="97"/>
      <c r="G31" s="98"/>
      <c r="H31" s="136"/>
      <c r="I31" s="137"/>
      <c r="J31" s="101"/>
      <c r="K31" s="102"/>
      <c r="L31" s="103"/>
      <c r="M31" s="104"/>
      <c r="N31" s="105"/>
      <c r="O31" s="106"/>
      <c r="P31" s="16"/>
    </row>
    <row r="32" spans="1:16" ht="24.75" customHeight="1" thickBot="1" x14ac:dyDescent="0.35">
      <c r="A32" s="439" t="s">
        <v>27</v>
      </c>
      <c r="B32" s="440"/>
      <c r="C32" s="291"/>
      <c r="D32" s="291"/>
      <c r="E32" s="138" t="e">
        <f>SUM(E30,E26)</f>
        <v>#N/A</v>
      </c>
      <c r="F32" s="139">
        <f>IFERROR(SUM(F30,F26),0)</f>
        <v>0</v>
      </c>
      <c r="G32" s="139" t="e">
        <f>SUM(G26,G30)</f>
        <v>#N/A</v>
      </c>
      <c r="H32" s="140">
        <f>IFERROR(F32-G32,0)</f>
        <v>0</v>
      </c>
      <c r="I32" s="141">
        <f>IFERROR(H32/$E$58,0)</f>
        <v>0</v>
      </c>
      <c r="J32" s="89">
        <f>IFERROR(H32/F32,0)</f>
        <v>0</v>
      </c>
      <c r="K32" s="142" t="e">
        <f>SUM(K30,K26)</f>
        <v>#N/A</v>
      </c>
      <c r="L32" s="143" t="e">
        <f>SUM(L26,L30)</f>
        <v>#N/A</v>
      </c>
      <c r="M32" s="144">
        <f>IFERROR(K32-L32,0)</f>
        <v>0</v>
      </c>
      <c r="N32" s="145">
        <f>IFERROR(M32/$E$3,0)</f>
        <v>0</v>
      </c>
      <c r="O32" s="94">
        <f>IFERROR(M32/K32,0)</f>
        <v>0</v>
      </c>
      <c r="P32" s="11"/>
    </row>
    <row r="33" spans="1:16" ht="3" customHeight="1" thickBot="1" x14ac:dyDescent="0.35">
      <c r="A33" s="146"/>
      <c r="B33" s="147"/>
      <c r="C33" s="147"/>
      <c r="D33" s="147"/>
      <c r="E33" s="148"/>
      <c r="F33" s="148"/>
      <c r="G33" s="149"/>
      <c r="H33" s="150"/>
      <c r="I33" s="151"/>
      <c r="J33" s="101"/>
      <c r="K33" s="152"/>
      <c r="L33" s="153"/>
      <c r="M33" s="104"/>
      <c r="N33" s="154"/>
      <c r="O33" s="155"/>
      <c r="P33" s="12"/>
    </row>
    <row r="34" spans="1:16" ht="54" customHeight="1" thickBot="1" x14ac:dyDescent="0.3">
      <c r="A34" s="470" t="s">
        <v>28</v>
      </c>
      <c r="B34" s="472" t="s">
        <v>20</v>
      </c>
      <c r="C34" s="156"/>
      <c r="D34" s="156"/>
      <c r="E34" s="157" t="s">
        <v>19</v>
      </c>
      <c r="F34" s="158" t="e">
        <f>VLOOKUP(B3,DataInfo2[[jobNo]:[Material Cost]],11,0)</f>
        <v>#N/A</v>
      </c>
      <c r="G34" s="158"/>
      <c r="H34" s="159">
        <f>IFERROR(F34-G34,0)</f>
        <v>0</v>
      </c>
      <c r="I34" s="160">
        <f>IFERROR(H34/$E$58,0)</f>
        <v>0</v>
      </c>
      <c r="J34" s="161" t="s">
        <v>19</v>
      </c>
      <c r="K34" s="162" t="e">
        <f>F34</f>
        <v>#N/A</v>
      </c>
      <c r="L34" s="163">
        <f>G34</f>
        <v>0</v>
      </c>
      <c r="M34" s="164">
        <f>IFERROR(K34-L34,0)</f>
        <v>0</v>
      </c>
      <c r="N34" s="165">
        <f>IFERROR(M34/$E$3,0)</f>
        <v>0</v>
      </c>
      <c r="O34" s="166" t="s">
        <v>19</v>
      </c>
      <c r="P34" s="11"/>
    </row>
    <row r="35" spans="1:16" ht="2.25" customHeight="1" thickBot="1" x14ac:dyDescent="0.35">
      <c r="A35" s="471"/>
      <c r="B35" s="473"/>
      <c r="C35" s="167"/>
      <c r="D35" s="167"/>
      <c r="E35" s="168"/>
      <c r="F35" s="168"/>
      <c r="G35" s="169"/>
      <c r="H35" s="170"/>
      <c r="I35" s="171"/>
      <c r="J35" s="17"/>
      <c r="K35" s="172"/>
      <c r="L35" s="173"/>
      <c r="M35" s="174"/>
      <c r="N35" s="175"/>
      <c r="O35" s="18"/>
      <c r="P35" s="19"/>
    </row>
    <row r="36" spans="1:16" ht="30" customHeight="1" thickTop="1" thickBot="1" x14ac:dyDescent="0.35">
      <c r="A36" s="474" t="s">
        <v>29</v>
      </c>
      <c r="B36" s="475"/>
      <c r="C36" s="288"/>
      <c r="D36" s="288"/>
      <c r="E36" s="176"/>
      <c r="F36" s="177">
        <f>IFERROR(SUM(F34:F35),0)</f>
        <v>0</v>
      </c>
      <c r="G36" s="177">
        <f>SUM(G34:G35)</f>
        <v>0</v>
      </c>
      <c r="H36" s="178">
        <f>IFERROR(F36-G36,0)</f>
        <v>0</v>
      </c>
      <c r="I36" s="179">
        <f>IFERROR(H36/$E$58,0)</f>
        <v>0</v>
      </c>
      <c r="J36" s="180">
        <f>IFERROR(H36/F36,0)</f>
        <v>0</v>
      </c>
      <c r="K36" s="181" t="e">
        <f>SUM(K34:K35)</f>
        <v>#N/A</v>
      </c>
      <c r="L36" s="182">
        <f>SUM(L34:L35)</f>
        <v>0</v>
      </c>
      <c r="M36" s="343">
        <f>IFERROR(K36-L36,0)</f>
        <v>0</v>
      </c>
      <c r="N36" s="178">
        <f>IFERROR(M36/$E$3,0)</f>
        <v>0</v>
      </c>
      <c r="O36" s="184">
        <f>IFERROR(M36/K36,0)</f>
        <v>0</v>
      </c>
      <c r="P36" s="12"/>
    </row>
    <row r="37" spans="1:16" ht="1.5" customHeight="1" thickTop="1" thickBot="1" x14ac:dyDescent="0.35">
      <c r="A37" s="146"/>
      <c r="B37" s="146"/>
      <c r="C37" s="147"/>
      <c r="D37" s="147"/>
      <c r="E37" s="148"/>
      <c r="F37" s="148"/>
      <c r="G37" s="149"/>
      <c r="H37" s="150"/>
      <c r="I37" s="185"/>
      <c r="J37" s="186"/>
      <c r="K37" s="187"/>
      <c r="L37" s="153"/>
      <c r="M37" s="345"/>
      <c r="N37" s="150"/>
      <c r="O37" s="155"/>
      <c r="P37" s="12"/>
    </row>
    <row r="38" spans="1:16" ht="31.5" customHeight="1" thickTop="1" x14ac:dyDescent="0.25">
      <c r="A38" s="476" t="s">
        <v>30</v>
      </c>
      <c r="B38" s="189" t="s">
        <v>31</v>
      </c>
      <c r="C38" s="189"/>
      <c r="D38" s="189"/>
      <c r="E38" s="190" t="s">
        <v>19</v>
      </c>
      <c r="F38" s="191" t="e">
        <f>VLOOKUP(B3,DataInfo2[[jobNo]:[Company Equipment]],10,0)</f>
        <v>#N/A</v>
      </c>
      <c r="G38" s="191"/>
      <c r="H38" s="192">
        <f>IFERROR(F38-G38,0)</f>
        <v>0</v>
      </c>
      <c r="I38" s="193">
        <f>IFERROR(H38/$E$58,0)</f>
        <v>0</v>
      </c>
      <c r="J38" s="194"/>
      <c r="K38" s="195" t="e">
        <f>F38</f>
        <v>#N/A</v>
      </c>
      <c r="L38" s="196">
        <f>G38</f>
        <v>0</v>
      </c>
      <c r="M38" s="346">
        <f>IFERROR(K38-L38,0)</f>
        <v>0</v>
      </c>
      <c r="N38" s="344">
        <f>IFERROR(M38/$E$3,0)</f>
        <v>0</v>
      </c>
      <c r="O38" s="197"/>
      <c r="P38" s="11"/>
    </row>
    <row r="39" spans="1:16" ht="33" customHeight="1" thickBot="1" x14ac:dyDescent="0.3">
      <c r="A39" s="477"/>
      <c r="B39" s="198" t="s">
        <v>32</v>
      </c>
      <c r="C39" s="198"/>
      <c r="D39" s="198"/>
      <c r="E39" s="199" t="s">
        <v>19</v>
      </c>
      <c r="F39" s="200" t="e">
        <f>VLOOKUP(B3,DataInfo2[[jobNo]:[3rd Party Cost]],7,0)</f>
        <v>#N/A</v>
      </c>
      <c r="G39" s="200"/>
      <c r="H39" s="201">
        <f>IFERROR(F39-G39,0)</f>
        <v>0</v>
      </c>
      <c r="I39" s="202">
        <f>IFERROR(H39/$E$58,0)</f>
        <v>0</v>
      </c>
      <c r="J39" s="203"/>
      <c r="K39" s="360" t="e">
        <f>F39</f>
        <v>#N/A</v>
      </c>
      <c r="L39" s="362">
        <f>G39</f>
        <v>0</v>
      </c>
      <c r="M39" s="204">
        <f>IFERROR(K39-L39,0)</f>
        <v>0</v>
      </c>
      <c r="N39" s="205">
        <f>IFERROR(M39/$E$3,0)</f>
        <v>0</v>
      </c>
      <c r="O39" s="206"/>
      <c r="P39" s="11"/>
    </row>
    <row r="40" spans="1:16" ht="30" customHeight="1" thickTop="1" thickBot="1" x14ac:dyDescent="0.35">
      <c r="A40" s="478" t="s">
        <v>33</v>
      </c>
      <c r="B40" s="479"/>
      <c r="C40" s="289"/>
      <c r="D40" s="289"/>
      <c r="E40" s="207" t="s">
        <v>19</v>
      </c>
      <c r="F40" s="208">
        <f>IFERROR(SUM(F38:F39),0)</f>
        <v>0</v>
      </c>
      <c r="G40" s="208"/>
      <c r="H40" s="209">
        <f>IFERROR(F40-G40,0)</f>
        <v>0</v>
      </c>
      <c r="I40" s="210">
        <f>IFERROR(H40/$E$58,0)</f>
        <v>0</v>
      </c>
      <c r="J40" s="211">
        <f>IFERROR(H40/F40,0)</f>
        <v>0</v>
      </c>
      <c r="K40" s="361" t="e">
        <f>SUM(K38:K39)</f>
        <v>#N/A</v>
      </c>
      <c r="L40" s="363">
        <f>SUM(L38:L39)</f>
        <v>0</v>
      </c>
      <c r="M40" s="212">
        <f>IFERROR(K40-L40,0)</f>
        <v>0</v>
      </c>
      <c r="N40" s="209">
        <f>IFERROR(M40/$E$3,0)</f>
        <v>0</v>
      </c>
      <c r="O40" s="213">
        <f>IFERROR(M40/K40,0)</f>
        <v>0</v>
      </c>
      <c r="P40" s="11"/>
    </row>
    <row r="41" spans="1:16" ht="0.75" customHeight="1" thickBot="1" x14ac:dyDescent="0.35">
      <c r="A41" s="95"/>
      <c r="B41" s="96"/>
      <c r="C41" s="96"/>
      <c r="D41" s="96"/>
      <c r="E41" s="97"/>
      <c r="F41" s="98"/>
      <c r="G41" s="98"/>
      <c r="H41" s="99"/>
      <c r="I41" s="100"/>
      <c r="J41" s="101"/>
      <c r="K41" s="102"/>
      <c r="L41" s="103"/>
      <c r="M41" s="214"/>
      <c r="N41" s="100"/>
      <c r="O41" s="106"/>
      <c r="P41" s="16"/>
    </row>
    <row r="42" spans="1:16" ht="30.95" customHeight="1" x14ac:dyDescent="0.25">
      <c r="A42" s="480" t="s">
        <v>34</v>
      </c>
      <c r="B42" s="215" t="s">
        <v>35</v>
      </c>
      <c r="C42" s="216" t="e">
        <f>VLOOKUP(B3,DataInfo2[[jobNo]:[Scaffold-ADD]],6,0)</f>
        <v>#N/A</v>
      </c>
      <c r="D42" s="216"/>
      <c r="E42" s="217" t="s">
        <v>19</v>
      </c>
      <c r="F42" s="218" t="e">
        <f>(C42*$C$5)+(D42*$D$5)</f>
        <v>#N/A</v>
      </c>
      <c r="G42" s="218"/>
      <c r="H42" s="219">
        <f>IFERROR(F42-G42,0)</f>
        <v>0</v>
      </c>
      <c r="I42" s="220">
        <f>IFERROR(H42/$E$58,0)</f>
        <v>0</v>
      </c>
      <c r="J42" s="221">
        <f>IFERROR(H42/F42,0)</f>
        <v>0</v>
      </c>
      <c r="K42" s="222" t="e">
        <f>F42</f>
        <v>#N/A</v>
      </c>
      <c r="L42" s="223">
        <f>G42</f>
        <v>0</v>
      </c>
      <c r="M42" s="224">
        <f>IFERROR(K42-L42,0)</f>
        <v>0</v>
      </c>
      <c r="N42" s="225">
        <f>IFERROR(M42/$E$3,0)</f>
        <v>0</v>
      </c>
      <c r="O42" s="226">
        <f>IFERROR(M42/K42,0)</f>
        <v>0</v>
      </c>
      <c r="P42" s="16"/>
    </row>
    <row r="43" spans="1:16" ht="30.95" customHeight="1" thickBot="1" x14ac:dyDescent="0.3">
      <c r="A43" s="481"/>
      <c r="B43" s="227" t="s">
        <v>36</v>
      </c>
      <c r="C43" s="228"/>
      <c r="D43" s="228"/>
      <c r="E43" s="229" t="s">
        <v>19</v>
      </c>
      <c r="F43" s="230"/>
      <c r="G43" s="230"/>
      <c r="H43" s="231">
        <f>IFERROR(F43-G43,0)</f>
        <v>0</v>
      </c>
      <c r="I43" s="232">
        <f>IFERROR(H43/$E$58,0)</f>
        <v>0</v>
      </c>
      <c r="J43" s="233">
        <f>IFERROR(H43/F43,0)</f>
        <v>0</v>
      </c>
      <c r="K43" s="234">
        <f>F43</f>
        <v>0</v>
      </c>
      <c r="L43" s="235">
        <f>G43</f>
        <v>0</v>
      </c>
      <c r="M43" s="236">
        <f>IFERROR(K43-L43,0)</f>
        <v>0</v>
      </c>
      <c r="N43" s="237">
        <f>IFERROR(M43/$E$3,0)</f>
        <v>0</v>
      </c>
      <c r="O43" s="238">
        <f>IFERROR(M43/K43,0)</f>
        <v>0</v>
      </c>
      <c r="P43" s="16"/>
    </row>
    <row r="44" spans="1:16" ht="32.25" customHeight="1" thickTop="1" thickBot="1" x14ac:dyDescent="0.35">
      <c r="A44" s="464" t="s">
        <v>37</v>
      </c>
      <c r="B44" s="465"/>
      <c r="C44" s="286"/>
      <c r="D44" s="286"/>
      <c r="E44" s="239"/>
      <c r="F44" s="334">
        <f>IFERROR(SUM(F42:F43),0)</f>
        <v>0</v>
      </c>
      <c r="G44" s="240">
        <f>SUM(G42:G43)</f>
        <v>0</v>
      </c>
      <c r="H44" s="241">
        <f>IFERROR(F44-G44,0)</f>
        <v>0</v>
      </c>
      <c r="I44" s="242">
        <f>IFERROR(H44/$E$58,0)</f>
        <v>0</v>
      </c>
      <c r="J44" s="243">
        <f>IFERROR(H44/F44,0)</f>
        <v>0</v>
      </c>
      <c r="K44" s="244" t="e">
        <f>SUM(K42:K43)</f>
        <v>#N/A</v>
      </c>
      <c r="L44" s="245">
        <f>SUM(L42:L43)</f>
        <v>0</v>
      </c>
      <c r="M44" s="246">
        <f>IFERROR(K44-L44,0)</f>
        <v>0</v>
      </c>
      <c r="N44" s="241">
        <f>IFERROR(M44/$E$3,0)</f>
        <v>0</v>
      </c>
      <c r="O44" s="247">
        <f>IFERROR(M44/K44,0)</f>
        <v>0</v>
      </c>
      <c r="P44" s="11"/>
    </row>
    <row r="45" spans="1:16" ht="0.75" customHeight="1" thickTop="1" thickBot="1" x14ac:dyDescent="0.35">
      <c r="A45" s="332"/>
      <c r="B45" s="147"/>
      <c r="C45" s="147"/>
      <c r="D45" s="147"/>
      <c r="E45" s="148"/>
      <c r="F45" s="335"/>
      <c r="G45" s="149"/>
      <c r="H45" s="150"/>
      <c r="I45" s="185"/>
      <c r="J45" s="101"/>
      <c r="K45" s="187"/>
      <c r="L45" s="153"/>
      <c r="M45" s="188"/>
      <c r="N45" s="150"/>
      <c r="O45" s="155"/>
      <c r="P45" s="12"/>
    </row>
    <row r="46" spans="1:16" ht="31.5" customHeight="1" thickTop="1" x14ac:dyDescent="0.3">
      <c r="A46" s="466" t="s">
        <v>21</v>
      </c>
      <c r="B46" s="331" t="s">
        <v>38</v>
      </c>
      <c r="C46" s="347">
        <v>0</v>
      </c>
      <c r="D46" s="347">
        <f>IFERROR(SUMIFS(#REF!,#REF!,$A$2,#REF!,$B$3),0)</f>
        <v>0</v>
      </c>
      <c r="E46" s="333"/>
      <c r="F46" s="336" t="e">
        <f>VLOOKUP(B3,DataInfo2[[jobNo]:[Other Cost]],15,0)</f>
        <v>#N/A</v>
      </c>
      <c r="G46" s="337"/>
      <c r="H46" s="338">
        <f>IFERROR(F46-G46,0)</f>
        <v>0</v>
      </c>
      <c r="I46" s="339">
        <f>IFERROR(H46/$E$26,0)</f>
        <v>0</v>
      </c>
      <c r="J46" s="340"/>
      <c r="K46" s="341" t="e">
        <f>F46</f>
        <v>#N/A</v>
      </c>
      <c r="L46" s="342">
        <f>G46</f>
        <v>0</v>
      </c>
      <c r="M46" s="249">
        <f>IFERROR(K46-L46,0)</f>
        <v>0</v>
      </c>
      <c r="N46" s="250">
        <f>IFERROR(M46/$E$3,0)</f>
        <v>0</v>
      </c>
      <c r="O46" s="251"/>
      <c r="P46" s="19"/>
    </row>
    <row r="47" spans="1:16" ht="31.5" customHeight="1" thickBot="1" x14ac:dyDescent="0.35">
      <c r="A47" s="467"/>
      <c r="B47" s="252" t="s">
        <v>39</v>
      </c>
      <c r="C47" s="253"/>
      <c r="D47" s="253"/>
      <c r="E47" s="254" t="s">
        <v>19</v>
      </c>
      <c r="F47" s="248" t="e">
        <f>VLOOKUP(B3,DataInfo2[[jobNo]:[Other Revanue]],16,0)</f>
        <v>#N/A</v>
      </c>
      <c r="G47" s="255"/>
      <c r="H47" s="256">
        <f>IFERROR(F47-G47,0)</f>
        <v>0</v>
      </c>
      <c r="I47" s="257">
        <f>IFERROR(H47/$E$26,0)</f>
        <v>0</v>
      </c>
      <c r="J47" s="258"/>
      <c r="K47" s="259" t="e">
        <f>F47</f>
        <v>#N/A</v>
      </c>
      <c r="L47" s="260">
        <f>G47</f>
        <v>0</v>
      </c>
      <c r="M47" s="212">
        <f>IFERROR(K47-L47,0)</f>
        <v>0</v>
      </c>
      <c r="N47" s="209">
        <f>IFERROR(M47/$E$3,0)</f>
        <v>0</v>
      </c>
      <c r="O47" s="261"/>
      <c r="P47" s="12"/>
    </row>
    <row r="48" spans="1:16" ht="30" customHeight="1" thickTop="1" thickBot="1" x14ac:dyDescent="0.35">
      <c r="A48" s="468" t="s">
        <v>40</v>
      </c>
      <c r="B48" s="469"/>
      <c r="C48" s="287"/>
      <c r="D48" s="262"/>
      <c r="E48" s="300"/>
      <c r="F48" s="263">
        <f>IFERROR(SUM(F45:F47),0)</f>
        <v>0</v>
      </c>
      <c r="G48" s="263">
        <f>SUM(G45:G47)</f>
        <v>0</v>
      </c>
      <c r="H48" s="264">
        <f>IFERROR(F48-G48,0)</f>
        <v>0</v>
      </c>
      <c r="I48" s="301">
        <f>IFERROR(H48/$E$58,0)</f>
        <v>0</v>
      </c>
      <c r="J48" s="265">
        <f>IFERROR(H48/F48,0)</f>
        <v>0</v>
      </c>
      <c r="K48" s="266" t="e">
        <f>SUM(K45:K47)</f>
        <v>#N/A</v>
      </c>
      <c r="L48" s="267">
        <f>SUM(L45:L47)</f>
        <v>0</v>
      </c>
      <c r="M48" s="183">
        <f>IFERROR(K48-L48,0)</f>
        <v>0</v>
      </c>
      <c r="N48" s="178">
        <f>IFERROR(M48/$E$3,0)</f>
        <v>0</v>
      </c>
      <c r="O48" s="268">
        <f>IFERROR(M48/K48,0)</f>
        <v>0</v>
      </c>
      <c r="P48" s="12"/>
    </row>
    <row r="49" spans="1:16" ht="60" customHeight="1" thickBot="1" x14ac:dyDescent="0.35">
      <c r="A49" s="433" t="s">
        <v>55</v>
      </c>
      <c r="B49" s="435" t="s">
        <v>55</v>
      </c>
      <c r="C49" s="437"/>
      <c r="D49" s="426"/>
      <c r="E49" s="426"/>
      <c r="F49" s="424" t="e">
        <f>VLOOKUP(B3,DataInfo2[[jobNo]:[Tools]],13,0)</f>
        <v>#N/A</v>
      </c>
      <c r="G49" s="426"/>
      <c r="H49" s="428"/>
      <c r="I49" s="430"/>
      <c r="J49" s="348"/>
      <c r="K49" s="364"/>
      <c r="L49" s="377"/>
      <c r="M49" s="297"/>
      <c r="N49" s="383"/>
      <c r="O49" s="298"/>
      <c r="P49" s="299"/>
    </row>
    <row r="50" spans="1:16" ht="30" hidden="1" customHeight="1" thickBot="1" x14ac:dyDescent="0.35">
      <c r="A50" s="434"/>
      <c r="B50" s="436"/>
      <c r="C50" s="438"/>
      <c r="D50" s="427"/>
      <c r="E50" s="427"/>
      <c r="F50" s="425"/>
      <c r="G50" s="427"/>
      <c r="H50" s="429"/>
      <c r="I50" s="431"/>
      <c r="J50" s="296"/>
      <c r="K50" s="294"/>
      <c r="L50" s="294"/>
      <c r="M50" s="350"/>
      <c r="N50" s="295"/>
      <c r="O50" s="353"/>
      <c r="P50" s="299"/>
    </row>
    <row r="51" spans="1:16" ht="30" customHeight="1" thickTop="1" thickBot="1" x14ac:dyDescent="0.35">
      <c r="A51" s="432" t="s">
        <v>85</v>
      </c>
      <c r="B51" s="432"/>
      <c r="C51" s="302"/>
      <c r="D51" s="303"/>
      <c r="E51" s="304"/>
      <c r="F51" s="311" t="e">
        <f>SUM(F49)</f>
        <v>#N/A</v>
      </c>
      <c r="G51" s="305"/>
      <c r="H51" s="305"/>
      <c r="I51" s="306"/>
      <c r="J51" s="349"/>
      <c r="K51" s="365"/>
      <c r="L51" s="378"/>
      <c r="M51" s="351"/>
      <c r="N51" s="384"/>
      <c r="O51" s="385"/>
      <c r="P51" s="299"/>
    </row>
    <row r="52" spans="1:16" ht="58.5" customHeight="1" thickBot="1" x14ac:dyDescent="0.35">
      <c r="A52" s="418" t="s">
        <v>86</v>
      </c>
      <c r="B52" s="420" t="s">
        <v>87</v>
      </c>
      <c r="C52" s="422"/>
      <c r="D52" s="413"/>
      <c r="E52" s="413"/>
      <c r="F52" s="411" t="e">
        <f>VLOOKUP(B3,DataInfo2[[jobNo]:[Scaffold]],9,0)</f>
        <v>#N/A</v>
      </c>
      <c r="G52" s="413"/>
      <c r="H52" s="413"/>
      <c r="I52" s="415"/>
      <c r="J52" s="328"/>
      <c r="K52" s="366"/>
      <c r="L52" s="379"/>
      <c r="M52" s="297"/>
      <c r="N52" s="383"/>
      <c r="O52" s="386"/>
      <c r="P52" s="299"/>
    </row>
    <row r="53" spans="1:16" ht="30" hidden="1" customHeight="1" thickBot="1" x14ac:dyDescent="0.35">
      <c r="A53" s="419"/>
      <c r="B53" s="421"/>
      <c r="C53" s="423"/>
      <c r="D53" s="414"/>
      <c r="E53" s="414"/>
      <c r="F53" s="412"/>
      <c r="G53" s="414"/>
      <c r="H53" s="414"/>
      <c r="I53" s="416"/>
      <c r="J53" s="328"/>
      <c r="K53" s="329"/>
      <c r="L53" s="354"/>
      <c r="M53" s="350"/>
      <c r="N53" s="295"/>
      <c r="O53" s="353"/>
      <c r="P53" s="299"/>
    </row>
    <row r="54" spans="1:16" ht="30" customHeight="1" thickTop="1" thickBot="1" x14ac:dyDescent="0.35">
      <c r="A54" s="417" t="s">
        <v>88</v>
      </c>
      <c r="B54" s="417"/>
      <c r="C54" s="307"/>
      <c r="D54" s="308"/>
      <c r="E54" s="309"/>
      <c r="F54" s="326" t="e">
        <f>SUM(F52)</f>
        <v>#N/A</v>
      </c>
      <c r="G54" s="308"/>
      <c r="H54" s="308"/>
      <c r="I54" s="310"/>
      <c r="J54" s="367"/>
      <c r="K54" s="380"/>
      <c r="L54" s="355"/>
      <c r="M54" s="387"/>
      <c r="N54" s="352"/>
      <c r="O54" s="385"/>
      <c r="P54" s="299"/>
    </row>
    <row r="55" spans="1:16" ht="60" customHeight="1" thickBot="1" x14ac:dyDescent="0.35">
      <c r="A55" s="405" t="s">
        <v>56</v>
      </c>
      <c r="B55" s="407" t="s">
        <v>56</v>
      </c>
      <c r="C55" s="409"/>
      <c r="D55" s="400"/>
      <c r="E55" s="400"/>
      <c r="F55" s="398" t="e">
        <f>VLOOKUP(B3,DataInfo2[[jobNo]:[Consumables]],14,0)</f>
        <v>#N/A</v>
      </c>
      <c r="G55" s="400"/>
      <c r="H55" s="400"/>
      <c r="I55" s="402"/>
      <c r="J55" s="356"/>
      <c r="K55" s="368"/>
      <c r="L55" s="381"/>
      <c r="M55" s="358"/>
      <c r="N55" s="389"/>
      <c r="O55" s="388"/>
      <c r="P55" s="299"/>
    </row>
    <row r="56" spans="1:16" ht="0.75" customHeight="1" thickTop="1" thickBot="1" x14ac:dyDescent="0.35">
      <c r="A56" s="406"/>
      <c r="B56" s="408"/>
      <c r="C56" s="410"/>
      <c r="D56" s="401"/>
      <c r="E56" s="401"/>
      <c r="F56" s="399"/>
      <c r="G56" s="401"/>
      <c r="H56" s="401"/>
      <c r="I56" s="403"/>
      <c r="J56" s="330"/>
      <c r="K56" s="357"/>
      <c r="L56" s="357"/>
      <c r="M56" s="370"/>
      <c r="N56" s="371"/>
      <c r="O56" s="372"/>
      <c r="P56" s="299"/>
    </row>
    <row r="57" spans="1:16" ht="30" customHeight="1" thickTop="1" thickBot="1" x14ac:dyDescent="0.35">
      <c r="A57" s="404" t="s">
        <v>89</v>
      </c>
      <c r="B57" s="404"/>
      <c r="C57" s="312"/>
      <c r="D57" s="316"/>
      <c r="E57" s="313"/>
      <c r="F57" s="327" t="e">
        <f>SUM(F55)</f>
        <v>#N/A</v>
      </c>
      <c r="G57" s="316"/>
      <c r="H57" s="313"/>
      <c r="I57" s="314"/>
      <c r="J57" s="369"/>
      <c r="K57" s="382"/>
      <c r="L57" s="359"/>
      <c r="M57" s="373"/>
      <c r="N57" s="390"/>
      <c r="O57" s="391"/>
      <c r="P57" s="12"/>
    </row>
    <row r="58" spans="1:16" ht="24" thickBot="1" x14ac:dyDescent="0.3">
      <c r="A58" s="269" t="str">
        <f>TRIM(A1)</f>
        <v/>
      </c>
      <c r="B58" s="270"/>
      <c r="C58" s="270"/>
      <c r="D58" s="315" t="s">
        <v>41</v>
      </c>
      <c r="E58" s="317" t="e">
        <f>SUM(E26,E30)</f>
        <v>#N/A</v>
      </c>
      <c r="F58" s="325" t="e">
        <f>SUM(F26,F30,F36,F40,F44,F48,F51,F54,F57)</f>
        <v>#N/A</v>
      </c>
      <c r="G58" s="323" t="e">
        <f>SUM(G26,G30,G36,G40,G44,G48)</f>
        <v>#N/A</v>
      </c>
      <c r="H58" s="322">
        <f>IFERROR(F58-G58,0)</f>
        <v>0</v>
      </c>
      <c r="I58" s="321">
        <f>IFERROR(H58/$E$58,0)</f>
        <v>0</v>
      </c>
      <c r="J58" s="319">
        <f>IFERROR(IF(F58&lt;0.01,0,H58/F58),0)</f>
        <v>0</v>
      </c>
      <c r="K58" s="318" t="e">
        <f>SUM(K26,K30,K36,K40,K44,K48)</f>
        <v>#N/A</v>
      </c>
      <c r="L58" s="271" t="e">
        <f>SUM(L26,L30,L36,L40,L44,L48)</f>
        <v>#N/A</v>
      </c>
      <c r="M58" s="374">
        <f>IFERROR(K58-L58,0)</f>
        <v>0</v>
      </c>
      <c r="N58" s="375">
        <f>IFERROR(M58/$E$3,0)</f>
        <v>0</v>
      </c>
      <c r="O58" s="376">
        <f>IFERROR(M58/K58,0)</f>
        <v>0</v>
      </c>
      <c r="P58" s="20"/>
    </row>
    <row r="59" spans="1:16" ht="12.75" customHeight="1" thickBot="1" x14ac:dyDescent="0.3">
      <c r="A59" s="272"/>
      <c r="B59" s="272"/>
      <c r="C59" s="272"/>
      <c r="D59" s="272"/>
      <c r="E59" s="273"/>
      <c r="F59" s="324"/>
      <c r="G59" s="324"/>
      <c r="H59" s="320"/>
      <c r="I59" s="320"/>
      <c r="J59" s="320"/>
      <c r="K59" s="274" t="e">
        <v>#REF!</v>
      </c>
      <c r="L59" s="275" t="e">
        <v>#REF!</v>
      </c>
      <c r="M59" s="276"/>
      <c r="N59" s="273"/>
      <c r="O59" s="277"/>
    </row>
    <row r="60" spans="1:16" x14ac:dyDescent="0.25">
      <c r="E60" s="278"/>
      <c r="F60" s="279" t="e">
        <f>IF(ABS(F58-F59)&gt; 1,F58-F59,"")</f>
        <v>#N/A</v>
      </c>
      <c r="G60" s="279" t="e">
        <f>IF(ABS(G58-G59)&gt; 1,G58-G59,"")</f>
        <v>#N/A</v>
      </c>
      <c r="K60" s="280" t="e">
        <f>IF(ABS(K58-K59)&gt; 1,K58-K59,"")</f>
        <v>#N/A</v>
      </c>
      <c r="L60" s="280" t="e">
        <f>IF(ABS(L58-L59)&gt; 1,L58-L59,"")</f>
        <v>#N/A</v>
      </c>
      <c r="M60" s="281"/>
      <c r="O60" s="282"/>
    </row>
    <row r="61" spans="1:16" ht="38.25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ht="20.25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ht="20.25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ht="20.25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ht="20.25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ht="20.25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ht="20.25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ht="20.25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ht="20.25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ht="20.25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ht="20.25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ht="20.25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ht="20.25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ht="20.25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ht="20.25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ht="20.25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ht="20.25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ht="20.25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ht="20.25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ht="20.25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ht="20.25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ht="20.25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ht="20.25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ht="20.25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ht="20.25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ht="20.25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ht="20.25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ht="20.25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ht="20.25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ht="20.25" customHeigh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ht="20.25" customHeigh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ht="20.25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ht="20.25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ht="20.25" customHeigh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ht="20.25" customHeigh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ht="20.25" customHeigh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ht="20.25" customHeigh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ht="20.25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ht="20.25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ht="20.25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ht="20.25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ht="20.25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ht="20.25" customHeigh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ht="20.25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ht="20.25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ht="20.25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ht="20.25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ht="20.25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ht="20.25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ht="20.25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ht="20.25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ht="20.25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ht="20.25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ht="20.25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ht="20.25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ht="20.25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ht="20.25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ht="20.25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ht="20.25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ht="20.25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ht="20.25" customHeigh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ht="20.25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ht="20.25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ht="20.25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ht="20.25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ht="20.25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ht="20.25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ht="20.25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ht="20.25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ht="20.25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ht="20.25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ht="20.25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ht="20.25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ht="20.25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ht="20.25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ht="20.25" customHeigh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ht="20.25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ht="20.25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ht="20.25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ht="20.25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ht="20.25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ht="20.25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ht="20.25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ht="20.25" customHeigh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ht="20.25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ht="20.25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ht="20.25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ht="20.25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ht="20.25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ht="20.25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ht="20.25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ht="20.25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ht="20.25" customHeigh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ht="20.25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ht="20.25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ht="20.25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ht="20.25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ht="20.25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ht="20.25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ht="20.25" customHeigh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ht="20.25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 ht="20.25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 ht="20.25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 ht="20.25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 ht="20.25" customHeigh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 ht="20.25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 ht="20.25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 ht="20.25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 ht="20.25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 ht="20.25" customHeigh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 ht="20.25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 ht="20.25" customHeigh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 ht="20.2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 ht="20.2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 ht="20.2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 ht="20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 ht="20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 ht="20.25" customHeigh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 ht="20.25" customHeigh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 ht="20.25" customHeigh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 ht="20.25" customHeigh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 ht="20.25" customHeigh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 ht="20.25" customHeigh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 ht="20.25" customHeigh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 ht="20.25" customHeigh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 ht="20.25" customHeigh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 ht="20.2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 ht="20.25" customHeigh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 ht="20.25" customHeigh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 ht="20.25" customHeigh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 ht="20.25" customHeigh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 ht="20.25" customHeigh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 ht="20.25" customHeigh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 ht="20.25" customHeigh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 ht="20.25" customHeigh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 ht="20.25" customHeigh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 ht="20.25" customHeigh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 ht="20.25" customHeigh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 ht="20.25" customHeigh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 ht="20.25" customHeigh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 ht="20.25" customHeigh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 ht="20.25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 ht="20.25" customHeigh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 ht="20.25" customHeigh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 ht="20.25" customHeigh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 ht="20.25" customHeigh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 ht="20.25" customHeigh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 ht="20.25" customHeigh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 ht="20.25" customHeigh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 ht="20.25" customHeigh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 ht="20.25" customHeigh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 ht="20.25" customHeigh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 ht="20.25" customHeigh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 ht="20.25" customHeigh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1:16" ht="20.25" customHeigh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1:16" ht="20.25" customHeigh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1:16" ht="21" customHeigh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1:16" ht="20.25" customHeigh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1:16" ht="20.25" customHeigh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1:16" ht="20.25" customHeigh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1:16" ht="20.25" customHeigh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1:16" ht="20.25" customHeigh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1:16" ht="20.25" customHeigh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spans="1:16" ht="20.25" customHeigh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spans="1:16" ht="20.25" customHeigh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spans="1:16" ht="20.25" customHeigh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spans="1:16" ht="20.25" customHeigh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spans="1:16" ht="20.25" customHeigh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spans="1:16" ht="20.25" customHeigh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spans="1:16" ht="20.25" customHeigh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spans="1:16" ht="20.25" customHeigh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1:16" ht="20.25" customHeigh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spans="1:16" ht="20.25" customHeigh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1:16" ht="20.25" customHeigh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spans="1:16" ht="20.25" customHeigh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spans="1:16" ht="20.25" customHeigh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spans="1:16" ht="20.25" customHeigh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spans="1:16" ht="20.25" customHeigh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spans="1:16" ht="20.25" customHeigh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spans="1:16" ht="20.25" customHeigh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spans="1:16" ht="20.25" customHeigh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1:16" ht="20.25" customHeigh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spans="1:16" ht="20.25" customHeigh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spans="1:16" ht="20.25" customHeigh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spans="1:16" ht="20.25" customHeigh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spans="1:16" ht="20.25" customHeigh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spans="1:16" ht="20.25" customHeigh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spans="1:16" ht="20.25" customHeigh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spans="1:16" ht="20.25" customHeigh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spans="1:16" ht="20.25" customHeigh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1:16" ht="20.25" customHeigh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1:16" ht="20.25" customHeigh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1:16" ht="20.25" customHeigh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  <row r="256" spans="1:16" ht="20.25" customHeigh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</row>
    <row r="257" spans="1:16" ht="20.25" customHeigh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</row>
    <row r="258" spans="1:16" ht="20.25" customHeigh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</row>
    <row r="259" spans="1:16" ht="20.25" customHeigh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</row>
    <row r="260" spans="1:16" ht="20.25" customHeigh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</row>
    <row r="261" spans="1:16" ht="20.25" customHeigh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</row>
    <row r="262" spans="1:16" ht="20.25" customHeigh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</row>
    <row r="263" spans="1:16" ht="20.25" customHeigh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</row>
    <row r="264" spans="1:16" ht="20.25" customHeigh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</row>
    <row r="265" spans="1:16" ht="20.25" customHeigh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</row>
    <row r="266" spans="1:16" ht="20.25" customHeigh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</row>
    <row r="267" spans="1:16" ht="20.25" customHeigh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</row>
    <row r="268" spans="1:16" ht="20.25" customHeigh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</row>
    <row r="269" spans="1:16" ht="20.25" customHeigh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</row>
    <row r="270" spans="1:16" ht="20.25" customHeigh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</row>
    <row r="271" spans="1:16" ht="20.25" customHeigh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</row>
    <row r="272" spans="1:16" ht="20.25" customHeigh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</row>
    <row r="273" spans="1:16" ht="20.25" customHeigh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</row>
    <row r="274" spans="1:16" ht="20.25" customHeigh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</row>
    <row r="275" spans="1:16" ht="20.25" customHeigh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</row>
    <row r="276" spans="1:16" ht="20.25" customHeigh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</row>
    <row r="277" spans="1:16" ht="20.25" customHeigh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</row>
    <row r="278" spans="1:16" ht="20.25" customHeigh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</row>
    <row r="279" spans="1:16" ht="20.25" customHeigh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</row>
    <row r="280" spans="1:16" ht="20.25" customHeigh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</row>
    <row r="281" spans="1:16" ht="20.25" customHeigh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</row>
    <row r="282" spans="1:16" ht="20.25" customHeigh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</row>
    <row r="283" spans="1:16" ht="20.25" customHeigh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</row>
    <row r="284" spans="1:16" ht="20.25" customHeigh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</row>
    <row r="285" spans="1:16" ht="20.25" customHeigh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</row>
    <row r="286" spans="1:16" ht="20.25" customHeigh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</row>
    <row r="287" spans="1:16" ht="20.25" customHeigh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</row>
    <row r="288" spans="1:16" ht="20.25" customHeigh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</row>
    <row r="289" spans="1:16" ht="20.25" customHeigh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</row>
    <row r="290" spans="1:16" ht="20.25" customHeigh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</row>
    <row r="291" spans="1:16" ht="20.25" customHeigh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</row>
    <row r="292" spans="1:16" ht="3.75" customHeigh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</row>
    <row r="293" spans="1:1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</row>
    <row r="294" spans="1:1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</row>
  </sheetData>
  <dataConsolidate/>
  <mergeCells count="51">
    <mergeCell ref="F55:F56"/>
    <mergeCell ref="G55:G56"/>
    <mergeCell ref="H55:H56"/>
    <mergeCell ref="I55:I56"/>
    <mergeCell ref="A57:B57"/>
    <mergeCell ref="A55:A56"/>
    <mergeCell ref="B55:B56"/>
    <mergeCell ref="C55:C56"/>
    <mergeCell ref="D55:D56"/>
    <mergeCell ref="E55:E56"/>
    <mergeCell ref="F52:F53"/>
    <mergeCell ref="G52:G53"/>
    <mergeCell ref="H52:H53"/>
    <mergeCell ref="I52:I53"/>
    <mergeCell ref="A54:B54"/>
    <mergeCell ref="E52:E53"/>
    <mergeCell ref="A51:B51"/>
    <mergeCell ref="A52:A53"/>
    <mergeCell ref="B52:B53"/>
    <mergeCell ref="C52:C53"/>
    <mergeCell ref="D52:D53"/>
    <mergeCell ref="I49:I50"/>
    <mergeCell ref="A44:B44"/>
    <mergeCell ref="A46:A47"/>
    <mergeCell ref="A48:B48"/>
    <mergeCell ref="A49:A50"/>
    <mergeCell ref="B49:B50"/>
    <mergeCell ref="C49:C50"/>
    <mergeCell ref="D49:D50"/>
    <mergeCell ref="E49:E50"/>
    <mergeCell ref="F49:F50"/>
    <mergeCell ref="G49:G50"/>
    <mergeCell ref="H49:H50"/>
    <mergeCell ref="A42:A43"/>
    <mergeCell ref="M2:O2"/>
    <mergeCell ref="A5:A25"/>
    <mergeCell ref="A26:B26"/>
    <mergeCell ref="A28:A29"/>
    <mergeCell ref="A30:B30"/>
    <mergeCell ref="A32:B32"/>
    <mergeCell ref="K2:L2"/>
    <mergeCell ref="A34:A35"/>
    <mergeCell ref="B34:B35"/>
    <mergeCell ref="A36:B36"/>
    <mergeCell ref="A38:A39"/>
    <mergeCell ref="A40:B40"/>
    <mergeCell ref="B1:C1"/>
    <mergeCell ref="G1:H1"/>
    <mergeCell ref="B2:D2"/>
    <mergeCell ref="E2:F2"/>
    <mergeCell ref="G2:I2"/>
  </mergeCells>
  <conditionalFormatting sqref="H5:I41 M5:N41 M45:N57 H45:I48">
    <cfRule type="cellIs" dxfId="33" priority="19" operator="greaterThan">
      <formula>0.046</formula>
    </cfRule>
    <cfRule type="cellIs" dxfId="32" priority="20" operator="between">
      <formula>0</formula>
      <formula>0.045</formula>
    </cfRule>
    <cfRule type="cellIs" dxfId="31" priority="21" operator="lessThan">
      <formula>0</formula>
    </cfRule>
    <cfRule type="cellIs" dxfId="30" priority="22" operator="greaterThan">
      <formula>0.05</formula>
    </cfRule>
  </conditionalFormatting>
  <conditionalFormatting sqref="B2">
    <cfRule type="cellIs" dxfId="29" priority="18" operator="equal">
      <formula>"*"</formula>
    </cfRule>
  </conditionalFormatting>
  <conditionalFormatting sqref="F59">
    <cfRule type="expression" dxfId="28" priority="17">
      <formula>ABS($F$58-$F$59)&gt;0.01</formula>
    </cfRule>
  </conditionalFormatting>
  <conditionalFormatting sqref="G59">
    <cfRule type="expression" dxfId="27" priority="16">
      <formula>ABS($G$58-$G$59)&gt;0.01</formula>
    </cfRule>
  </conditionalFormatting>
  <conditionalFormatting sqref="H42:I42 M42:N42">
    <cfRule type="cellIs" dxfId="26" priority="12" operator="greaterThan">
      <formula>0.046</formula>
    </cfRule>
    <cfRule type="cellIs" dxfId="25" priority="13" operator="between">
      <formula>0</formula>
      <formula>0.045</formula>
    </cfRule>
    <cfRule type="cellIs" dxfId="24" priority="14" operator="lessThan">
      <formula>0</formula>
    </cfRule>
    <cfRule type="cellIs" dxfId="23" priority="15" operator="greaterThan">
      <formula>0.05</formula>
    </cfRule>
  </conditionalFormatting>
  <conditionalFormatting sqref="H43:I43 M43:N43">
    <cfRule type="cellIs" dxfId="22" priority="8" operator="greaterThan">
      <formula>0.046</formula>
    </cfRule>
    <cfRule type="cellIs" dxfId="21" priority="9" operator="between">
      <formula>0</formula>
      <formula>0.045</formula>
    </cfRule>
    <cfRule type="cellIs" dxfId="20" priority="10" operator="lessThan">
      <formula>0</formula>
    </cfRule>
    <cfRule type="cellIs" dxfId="19" priority="11" operator="greaterThan">
      <formula>0.05</formula>
    </cfRule>
  </conditionalFormatting>
  <conditionalFormatting sqref="H44:I44 M44:N44">
    <cfRule type="cellIs" dxfId="18" priority="4" operator="greaterThan">
      <formula>0.046</formula>
    </cfRule>
    <cfRule type="cellIs" dxfId="17" priority="5" operator="between">
      <formula>0</formula>
      <formula>0.045</formula>
    </cfRule>
    <cfRule type="cellIs" dxfId="16" priority="6" operator="lessThan">
      <formula>0</formula>
    </cfRule>
    <cfRule type="cellIs" dxfId="15" priority="7" operator="greaterThan">
      <formula>0.05</formula>
    </cfRule>
  </conditionalFormatting>
  <conditionalFormatting sqref="K59">
    <cfRule type="expression" dxfId="14" priority="3">
      <formula>ABS($F$58-$F$59)&gt;0.01</formula>
    </cfRule>
  </conditionalFormatting>
  <conditionalFormatting sqref="L59">
    <cfRule type="expression" dxfId="13" priority="2">
      <formula>ABS($G$58-$G$59)&gt;0.01</formula>
    </cfRule>
  </conditionalFormatting>
  <conditionalFormatting sqref="G1:H1">
    <cfRule type="expression" dxfId="12" priority="1">
      <formula>ABS($I$5-$I$3)&gt;0.01</formula>
    </cfRule>
  </conditionalFormatting>
  <pageMargins left="0.25" right="0.25" top="0.5" bottom="0.5" header="0.3" footer="0.3"/>
  <pageSetup scale="10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promptTitle="JOB" xr:uid="{C310307D-D0B8-4212-A219-47FF0F44DB57}">
          <x14:formula1>
            <xm:f>Data!#REF!</xm:f>
          </x14:formula1>
          <xm:sqref>B6</xm:sqref>
        </x14:dataValidation>
        <x14:dataValidation type="list" showInputMessage="1" showErrorMessage="1" promptTitle="JOB" xr:uid="{BF69BE07-3BE0-4AEB-AFFC-C8259AA1DDC2}">
          <x14:formula1>
            <xm:f>Data!#REF!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C7EFF-92C8-40D5-986C-D011EBD5389D}">
  <sheetPr codeName="Sheet2"/>
  <dimension ref="A1:AR6"/>
  <sheetViews>
    <sheetView zoomScaleNormal="100" workbookViewId="0">
      <selection activeCell="A2" sqref="A2:AR6"/>
    </sheetView>
  </sheetViews>
  <sheetFormatPr defaultColWidth="9.140625" defaultRowHeight="15" x14ac:dyDescent="0.25"/>
  <cols>
    <col min="1" max="1" width="10.5703125" customWidth="1"/>
    <col min="2" max="2" width="10.7109375" customWidth="1"/>
    <col min="3" max="3" width="11.140625" style="285" bestFit="1" customWidth="1"/>
    <col min="4" max="4" width="13.140625" customWidth="1"/>
    <col min="5" max="5" width="12.28515625" style="21" customWidth="1"/>
    <col min="6" max="6" width="14.85546875" customWidth="1"/>
    <col min="7" max="7" width="15.28515625" style="21" customWidth="1"/>
    <col min="8" max="8" width="18.85546875" style="21" customWidth="1"/>
    <col min="9" max="9" width="21.5703125" style="21" customWidth="1"/>
    <col min="10" max="10" width="15" style="21" customWidth="1"/>
    <col min="11" max="11" width="17.85546875" style="21" customWidth="1"/>
    <col min="12" max="12" width="10" style="23" bestFit="1" customWidth="1"/>
    <col min="13" max="13" width="15" customWidth="1"/>
    <col min="14" max="14" width="12.5703125" customWidth="1"/>
    <col min="15" max="15" width="16.5703125" bestFit="1" customWidth="1"/>
    <col min="16" max="18" width="10.42578125" customWidth="1"/>
    <col min="19" max="19" width="14" customWidth="1"/>
    <col min="20" max="20" width="18" customWidth="1"/>
    <col min="21" max="21" width="11.28515625" customWidth="1"/>
    <col min="22" max="25" width="10.42578125" customWidth="1"/>
    <col min="26" max="26" width="14.140625" customWidth="1"/>
    <col min="27" max="27" width="14.28515625" bestFit="1" customWidth="1"/>
    <col min="28" max="33" width="10.42578125" customWidth="1"/>
    <col min="34" max="34" width="12.5703125" bestFit="1" customWidth="1"/>
    <col min="35" max="40" width="10.42578125" customWidth="1"/>
    <col min="41" max="41" width="15.85546875" bestFit="1" customWidth="1"/>
    <col min="42" max="46" width="10.42578125" customWidth="1"/>
  </cols>
  <sheetData>
    <row r="1" spans="1:44" ht="18" customHeight="1" x14ac:dyDescent="0.25">
      <c r="A1" t="s">
        <v>46</v>
      </c>
      <c r="B1" t="s">
        <v>42</v>
      </c>
      <c r="C1" t="s">
        <v>43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34</v>
      </c>
      <c r="J1" t="s">
        <v>52</v>
      </c>
      <c r="K1" t="s">
        <v>53</v>
      </c>
      <c r="L1" t="s">
        <v>54</v>
      </c>
      <c r="M1" t="s">
        <v>55</v>
      </c>
      <c r="N1" t="s">
        <v>56</v>
      </c>
      <c r="O1" t="s">
        <v>57</v>
      </c>
      <c r="P1" t="s">
        <v>73</v>
      </c>
      <c r="Q1" t="s">
        <v>58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  <c r="X1" t="s">
        <v>65</v>
      </c>
      <c r="Y1" t="s">
        <v>66</v>
      </c>
      <c r="Z1" t="s">
        <v>67</v>
      </c>
      <c r="AA1" t="s">
        <v>68</v>
      </c>
      <c r="AB1" t="s">
        <v>69</v>
      </c>
      <c r="AC1" t="s">
        <v>22</v>
      </c>
      <c r="AD1" t="s">
        <v>23</v>
      </c>
      <c r="AE1" t="s">
        <v>70</v>
      </c>
      <c r="AF1" t="s">
        <v>71</v>
      </c>
      <c r="AG1" t="s">
        <v>72</v>
      </c>
      <c r="AH1" t="s">
        <v>74</v>
      </c>
      <c r="AI1" t="s">
        <v>75</v>
      </c>
      <c r="AJ1" t="s">
        <v>76</v>
      </c>
      <c r="AK1" t="s">
        <v>77</v>
      </c>
      <c r="AL1" t="s">
        <v>78</v>
      </c>
      <c r="AM1" t="s">
        <v>79</v>
      </c>
      <c r="AN1" t="s">
        <v>80</v>
      </c>
      <c r="AO1" t="s">
        <v>81</v>
      </c>
      <c r="AP1" t="s">
        <v>82</v>
      </c>
      <c r="AQ1" t="s">
        <v>83</v>
      </c>
      <c r="AR1" t="s">
        <v>84</v>
      </c>
    </row>
    <row r="2" spans="1:44" x14ac:dyDescent="0.25">
      <c r="L2" s="24"/>
      <c r="M2" s="21"/>
      <c r="N2" s="21"/>
      <c r="O2" s="21"/>
    </row>
    <row r="3" spans="1:44" x14ac:dyDescent="0.25">
      <c r="L3" s="24"/>
      <c r="M3" s="21"/>
      <c r="N3" s="21"/>
      <c r="O3" s="21"/>
    </row>
    <row r="4" spans="1:44" x14ac:dyDescent="0.25">
      <c r="L4" s="24"/>
      <c r="M4" s="21"/>
      <c r="N4" s="21"/>
      <c r="O4" s="21"/>
    </row>
    <row r="5" spans="1:44" x14ac:dyDescent="0.25">
      <c r="L5" s="24"/>
      <c r="M5" s="21"/>
      <c r="N5" s="21"/>
      <c r="O5" s="21"/>
    </row>
    <row r="6" spans="1:44" x14ac:dyDescent="0.25">
      <c r="L6" s="21"/>
      <c r="M6" s="21"/>
      <c r="N6" s="21"/>
      <c r="O6" s="21"/>
    </row>
  </sheetData>
  <dataConsolidate/>
  <phoneticPr fontId="52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promptTitle="JOB" xr:uid="{236FA793-ACC1-4E33-84E5-0C8343E9B75A}">
          <x14:formula1>
            <xm:f>Data!#REF!</xm:f>
          </x14:formula1>
          <xm:sqref>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0C050-C185-494A-8A7B-F8B74CC86E5C}">
  <sheetPr codeName="Hoja3"/>
  <dimension ref="A1:G1"/>
  <sheetViews>
    <sheetView tabSelected="1" workbookViewId="0">
      <selection activeCell="C16" sqref="C15:C16"/>
    </sheetView>
  </sheetViews>
  <sheetFormatPr defaultColWidth="11.42578125" defaultRowHeight="15" x14ac:dyDescent="0.25"/>
  <cols>
    <col min="1" max="1" width="11.42578125" customWidth="1"/>
    <col min="3" max="3" width="16.42578125" customWidth="1"/>
    <col min="4" max="4" width="13.28515625" customWidth="1"/>
    <col min="5" max="5" width="11.42578125" style="397"/>
    <col min="6" max="6" width="11.42578125" style="392"/>
    <col min="7" max="7" width="19.28515625" customWidth="1"/>
  </cols>
  <sheetData>
    <row r="1" spans="1:7" x14ac:dyDescent="0.25">
      <c r="A1" t="s">
        <v>46</v>
      </c>
      <c r="B1" t="s">
        <v>91</v>
      </c>
      <c r="C1" t="s">
        <v>92</v>
      </c>
      <c r="D1" t="s">
        <v>93</v>
      </c>
      <c r="E1" t="s">
        <v>94</v>
      </c>
      <c r="F1" t="s">
        <v>95</v>
      </c>
      <c r="G1" t="s">
        <v>96</v>
      </c>
    </row>
  </sheetData>
  <phoneticPr fontId="52" type="noConversion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JCD</vt:lpstr>
      <vt:lpstr>Data</vt:lpstr>
      <vt:lpstr>JCD Y</vt:lpstr>
      <vt:lpstr>Data Y</vt:lpstr>
      <vt:lpstr>MaterialUsed</vt:lpstr>
      <vt:lpstr>JCD!Print_Area</vt:lpstr>
      <vt:lpstr>'JCD 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AVR</dc:creator>
  <cp:lastModifiedBy>isaac</cp:lastModifiedBy>
  <dcterms:created xsi:type="dcterms:W3CDTF">2022-07-20T02:08:01Z</dcterms:created>
  <dcterms:modified xsi:type="dcterms:W3CDTF">2023-03-06T02:30:50Z</dcterms:modified>
</cp:coreProperties>
</file>