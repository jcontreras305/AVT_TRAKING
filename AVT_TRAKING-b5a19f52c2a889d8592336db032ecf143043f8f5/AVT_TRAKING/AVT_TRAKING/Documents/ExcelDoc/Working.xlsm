
<file path=[Content_Types].xml><?xml version="1.0" encoding="utf-8"?>
<Types xmlns="http://schemas.openxmlformats.org/package/2006/content-types">
  <Default Extension="bin" ContentType="application/vnd.openxmlformats-officedocument.spreadsheetml.printerSettings"/>
  <Default Extension="png" ContentType="image/png"/>
  <Default Extension="rels" ContentType="application/vnd.openxmlformats-package.relationships+xml"/>
  <Default Extension="vml" ContentType="application/vnd.openxmlformats-officedocument.vmlDrawing"/>
  <Default Extension="xml" ContentType="application/xml"/>
  <Override PartName="/xl/workbook.xml" ContentType="application/vnd.ms-excel.sheet.macroEnabled.main+xml"/>
  <Override PartName="/xl/worksheets/sheet1.xml" ContentType="application/vnd.openxmlformats-officedocument.spreadsheetml.worksheet+xml"/>
  <Override PartName="/xl/worksheets/sheet2.xml" ContentType="application/vnd.openxmlformats-officedocument.spreadsheetml.worksheet+xml"/>
  <Override PartName="/xl/worksheets/sheet3.xml" ContentType="application/vnd.openxmlformats-officedocument.spreadsheetml.worksheet+xml"/>
  <Override PartName="/xl/worksheets/sheet4.xml" ContentType="application/vnd.openxmlformats-officedocument.spreadsheetml.worksheet+xml"/>
  <Override PartName="/xl/worksheets/sheet5.xml" ContentType="application/vnd.openxmlformats-officedocument.spreadsheetml.worksheet+xml"/>
  <Override PartName="/xl/theme/theme1.xml" ContentType="application/vnd.openxmlformats-officedocument.theme+xml"/>
  <Override PartName="/xl/styles.xml" ContentType="application/vnd.openxmlformats-officedocument.spreadsheetml.styles+xml"/>
  <Override PartName="/xl/sharedStrings.xml" ContentType="application/vnd.openxmlformats-officedocument.spreadsheetml.sharedStrings+xml"/>
  <Override PartName="/xl/drawings/drawing1.xml" ContentType="application/vnd.openxmlformats-officedocument.drawing+xml"/>
  <Override PartName="/xl/comments1.xml" ContentType="application/vnd.openxmlformats-officedocument.spreadsheetml.comments+xml"/>
  <Override PartName="/xl/tables/table1.xml" ContentType="application/vnd.openxmlformats-officedocument.spreadsheetml.table+xml"/>
  <Override PartName="/xl/drawings/drawing2.xml" ContentType="application/vnd.openxmlformats-officedocument.drawing+xml"/>
  <Override PartName="/xl/comments2.xml" ContentType="application/vnd.openxmlformats-officedocument.spreadsheetml.comments+xml"/>
  <Override PartName="/xl/tables/table2.xml" ContentType="application/vnd.openxmlformats-officedocument.spreadsheetml.table+xml"/>
  <Override PartName="/xl/tables/table3.xml" ContentType="application/vnd.openxmlformats-officedocument.spreadsheetml.table+xml"/>
  <Override PartName="/xl/calcChain.xml" ContentType="application/vnd.openxmlformats-officedocument.spreadsheetml.calcChain+xml"/>
  <Override PartName="/xl/vbaProject.bin" ContentType="application/vnd.ms-office.vbaProject"/>
  <Override PartName="/docProps/core.xml" ContentType="application/vnd.openxmlformats-package.core-properties+xml"/>
  <Override PartName="/docProps/app.xml" ContentType="application/vnd.openxmlformats-officedocument.extended-properties+xml"/>
</Types>
</file>

<file path=_rels/.rels><?xml version="1.0" encoding="UTF-8" standalone="yes"?>
<Relationships xmlns="http://schemas.openxmlformats.org/package/2006/relationships"><Relationship Id="rId3" Type="http://schemas.openxmlformats.org/officeDocument/2006/relationships/extended-properties" Target="docProps/app.xml"/><Relationship Id="rId2" Type="http://schemas.openxmlformats.org/package/2006/relationships/metadata/core-properties" Target="docProps/core.xml"/><Relationship Id="rId1" Type="http://schemas.openxmlformats.org/officeDocument/2006/relationships/officeDocument" Target="xl/workbook.xml"/></Relationships>
</file>

<file path=xl/workbook.xml><?xml version="1.0" encoding="utf-8"?>
<workbook xmlns="http://schemas.openxmlformats.org/spreadsheetml/2006/main" xmlns:r="http://schemas.openxmlformats.org/officeDocument/2006/relationships" xmlns:mc="http://schemas.openxmlformats.org/markup-compatibility/2006" xmlns:x15="http://schemas.microsoft.com/office/spreadsheetml/2010/11/main" xmlns:xr="http://schemas.microsoft.com/office/spreadsheetml/2014/revision" xmlns:xr6="http://schemas.microsoft.com/office/spreadsheetml/2016/revision6" xmlns:xr10="http://schemas.microsoft.com/office/spreadsheetml/2016/revision10" xmlns:xr2="http://schemas.microsoft.com/office/spreadsheetml/2015/revision2" mc:Ignorable="x15 xr xr6 xr10 xr2">
  <fileVersion appName="xl" lastEdited="7" lowestEdited="7" rupBuild="25629" codeName="{AE6600E7-7A62-396C-DE95-9942FA9DD81E}"/>
  <workbookPr updateLinks="never" codeName="ThisWorkbook" defaultThemeVersion="166925"/>
  <mc:AlternateContent xmlns:mc="http://schemas.openxmlformats.org/markup-compatibility/2006">
    <mc:Choice Requires="x15">
      <x15ac:absPath xmlns:x15ac="http://schemas.microsoft.com/office/spreadsheetml/2010/11/ac" url="C:\Users\isaac\source\repos\AVT_TRAKING\AVT_TRAKING-b5a19f52c2a889d8592336db032ecf143043f8f5\AVT_TRAKING\AVT_TRAKING\Documents\ExcelDoc\"/>
    </mc:Choice>
  </mc:AlternateContent>
  <xr:revisionPtr revIDLastSave="0" documentId="13_ncr:1_{34453A5E-DC58-4D29-8A49-8D8521203618}" xr6:coauthVersionLast="47" xr6:coauthVersionMax="47" xr10:uidLastSave="{00000000-0000-0000-0000-000000000000}"/>
  <bookViews>
    <workbookView xWindow="-120" yWindow="-120" windowWidth="20730" windowHeight="11280" xr2:uid="{5FDD84B4-641D-488C-B367-B776016AAC78}"/>
  </bookViews>
  <sheets>
    <sheet name="JCD" sheetId="3" r:id="rId1"/>
    <sheet name="Data" sheetId="5" r:id="rId2"/>
    <sheet name="JCD Y" sheetId="11" r:id="rId3"/>
    <sheet name="Data Y" sheetId="9" r:id="rId4"/>
    <sheet name="MaterialUsed" sheetId="14" r:id="rId5"/>
  </sheets>
  <functionGroups builtInGroupCount="19"/>
  <definedNames>
    <definedName name="davesDMN">#REF!</definedName>
    <definedName name="Departments">#REF!</definedName>
    <definedName name="_xlnm.Print_Area" localSheetId="0">JCD!$A$1:$P$138</definedName>
    <definedName name="_xlnm.Print_Area" localSheetId="2">'JCD Y'!$A$1:$P$138</definedName>
  </definedNames>
  <calcPr calcId="181029"/>
  <extLst>
    <ext xmlns:x15="http://schemas.microsoft.com/office/spreadsheetml/2010/11/main" uri="{140A7094-0E35-4892-8432-C4D2E57EDEB5}">
      <x15:workbookPr chartTrackingRefBase="1"/>
    </ext>
    <ext xmlns:xcalcf="http://schemas.microsoft.com/office/spreadsheetml/2018/calcfeatures" uri="{B58B0392-4F1F-4190-BB64-5DF3571DCE5F}">
      <xcalcf:calcFeatures>
        <xcalcf:feature name="microsoft.com:RD"/>
        <xcalcf:feature name="microsoft.com:FV"/>
        <xcalcf:feature name="microsoft.com:LET_WF"/>
        <xcalcf:feature name="microsoft.com:LAMBDA_WF"/>
      </xcalcf:calcFeatures>
    </ext>
  </extLst>
</workbook>
</file>

<file path=xl/calcChain.xml><?xml version="1.0" encoding="utf-8"?>
<calcChain xmlns="http://schemas.openxmlformats.org/spreadsheetml/2006/main">
  <c r="D19" i="3" l="1"/>
  <c r="D18" i="3"/>
  <c r="D17" i="3"/>
  <c r="D16" i="3"/>
  <c r="D15" i="3"/>
  <c r="D14" i="3"/>
  <c r="D13" i="3"/>
  <c r="D12" i="3"/>
  <c r="D11" i="3"/>
  <c r="D10" i="3"/>
  <c r="D9" i="3"/>
  <c r="D8" i="3"/>
  <c r="D7" i="3"/>
  <c r="D6" i="3"/>
  <c r="C19" i="3"/>
  <c r="C18" i="3"/>
  <c r="C17" i="3"/>
  <c r="C16" i="3"/>
  <c r="C15" i="3"/>
  <c r="C14" i="3"/>
  <c r="C13" i="3"/>
  <c r="C12" i="3"/>
  <c r="C11" i="3"/>
  <c r="C10" i="3"/>
  <c r="C9" i="3"/>
  <c r="C8" i="3"/>
  <c r="C7" i="3"/>
  <c r="C6" i="3"/>
  <c r="F47" i="3"/>
  <c r="F46" i="3"/>
  <c r="F55" i="3"/>
  <c r="F57" i="3" s="1"/>
  <c r="F49" i="3"/>
  <c r="F51" i="3" s="1"/>
  <c r="F28" i="3"/>
  <c r="F34" i="3"/>
  <c r="F38" i="3"/>
  <c r="F52" i="3"/>
  <c r="F54" i="3" s="1"/>
  <c r="F39" i="3"/>
  <c r="C42" i="3"/>
  <c r="F5" i="3"/>
  <c r="E5" i="3"/>
  <c r="D5" i="3"/>
  <c r="C5" i="3"/>
  <c r="D19" i="11"/>
  <c r="D18" i="11"/>
  <c r="D17" i="11"/>
  <c r="D16" i="11"/>
  <c r="D15" i="11"/>
  <c r="D14" i="11"/>
  <c r="D13" i="11"/>
  <c r="D12" i="11"/>
  <c r="D11" i="11"/>
  <c r="D10" i="11"/>
  <c r="D9" i="11"/>
  <c r="D8" i="11"/>
  <c r="D7" i="11"/>
  <c r="D6" i="11"/>
  <c r="C19" i="11"/>
  <c r="C18" i="11"/>
  <c r="C17" i="11"/>
  <c r="C16" i="11"/>
  <c r="C15" i="11"/>
  <c r="C14" i="11"/>
  <c r="C13" i="11"/>
  <c r="C12" i="11"/>
  <c r="C11" i="11"/>
  <c r="C10" i="11"/>
  <c r="C9" i="11"/>
  <c r="C8" i="11"/>
  <c r="C7" i="11"/>
  <c r="C6" i="11"/>
  <c r="F47" i="11"/>
  <c r="K47" i="11" s="1"/>
  <c r="M47" i="11" s="1"/>
  <c r="N47" i="11" s="1"/>
  <c r="F46" i="11"/>
  <c r="H46" i="11" s="1"/>
  <c r="F55" i="11"/>
  <c r="F57" i="11" s="1"/>
  <c r="F49" i="11"/>
  <c r="F51" i="11" s="1"/>
  <c r="F28" i="11"/>
  <c r="H28" i="11" s="1"/>
  <c r="I28" i="11" s="1"/>
  <c r="F34" i="11"/>
  <c r="K34" i="11" s="1"/>
  <c r="M34" i="11" s="1"/>
  <c r="N34" i="11" s="1"/>
  <c r="F38" i="11"/>
  <c r="K38" i="11" s="1"/>
  <c r="M38" i="11" s="1"/>
  <c r="N38" i="11" s="1"/>
  <c r="F52" i="11"/>
  <c r="F54" i="11" s="1"/>
  <c r="F39" i="11"/>
  <c r="H39" i="11" s="1"/>
  <c r="C42" i="11"/>
  <c r="F5" i="11"/>
  <c r="K5" i="11" s="1"/>
  <c r="E5" i="11"/>
  <c r="E26" i="11" s="1"/>
  <c r="E58" i="11" s="1"/>
  <c r="I43" i="11" s="1"/>
  <c r="D5" i="11"/>
  <c r="C5" i="11"/>
  <c r="D46" i="3"/>
  <c r="F43" i="3"/>
  <c r="A58" i="11"/>
  <c r="G48" i="11"/>
  <c r="L47" i="11"/>
  <c r="L46" i="11"/>
  <c r="L48" i="11" s="1"/>
  <c r="D46" i="11"/>
  <c r="L44" i="11"/>
  <c r="G44" i="11"/>
  <c r="M43" i="11"/>
  <c r="O43" i="11" s="1"/>
  <c r="L43" i="11"/>
  <c r="K43" i="11"/>
  <c r="J43" i="11"/>
  <c r="H43" i="11"/>
  <c r="L42" i="11"/>
  <c r="L39" i="11"/>
  <c r="L40" i="11" s="1"/>
  <c r="L38" i="11"/>
  <c r="G36" i="11"/>
  <c r="L34" i="11"/>
  <c r="L36" i="11" s="1"/>
  <c r="N30" i="11"/>
  <c r="M30" i="11"/>
  <c r="O30" i="11" s="1"/>
  <c r="L30" i="11"/>
  <c r="K30" i="11"/>
  <c r="G30" i="11"/>
  <c r="E30" i="11"/>
  <c r="M28" i="11"/>
  <c r="N28" i="11" s="1"/>
  <c r="L25" i="11"/>
  <c r="L24" i="11"/>
  <c r="L23" i="11"/>
  <c r="L22" i="11"/>
  <c r="L21" i="11"/>
  <c r="L20" i="11"/>
  <c r="L19" i="11"/>
  <c r="L18" i="11"/>
  <c r="L17" i="11"/>
  <c r="L16" i="11"/>
  <c r="L15" i="11"/>
  <c r="L14" i="11"/>
  <c r="L13" i="11"/>
  <c r="L12" i="11"/>
  <c r="L11" i="11"/>
  <c r="L10" i="11"/>
  <c r="L9" i="11"/>
  <c r="L8" i="11"/>
  <c r="L7" i="11"/>
  <c r="L6" i="11"/>
  <c r="G5" i="11"/>
  <c r="J2" i="11"/>
  <c r="E1" i="11"/>
  <c r="F36" i="11" l="1"/>
  <c r="H36" i="11" s="1"/>
  <c r="I36" i="11" s="1"/>
  <c r="H47" i="11"/>
  <c r="I47" i="11" s="1"/>
  <c r="F30" i="11"/>
  <c r="H30" i="11" s="1"/>
  <c r="H34" i="11"/>
  <c r="I34" i="11" s="1"/>
  <c r="H38" i="11"/>
  <c r="I38" i="11" s="1"/>
  <c r="F40" i="11"/>
  <c r="H40" i="11" s="1"/>
  <c r="J40" i="11" s="1"/>
  <c r="K39" i="11"/>
  <c r="M39" i="11" s="1"/>
  <c r="N39" i="11" s="1"/>
  <c r="F16" i="11"/>
  <c r="K16" i="11" s="1"/>
  <c r="M16" i="11" s="1"/>
  <c r="N16" i="11" s="1"/>
  <c r="F8" i="11"/>
  <c r="H8" i="11" s="1"/>
  <c r="I8" i="11" s="1"/>
  <c r="F12" i="11"/>
  <c r="K12" i="11" s="1"/>
  <c r="M12" i="11" s="1"/>
  <c r="N12" i="11" s="1"/>
  <c r="G3" i="11"/>
  <c r="I3" i="11" s="1"/>
  <c r="F48" i="11"/>
  <c r="H48" i="11" s="1"/>
  <c r="I48" i="11" s="1"/>
  <c r="K46" i="11"/>
  <c r="M46" i="11" s="1"/>
  <c r="N46" i="11" s="1"/>
  <c r="F7" i="11"/>
  <c r="H7" i="11" s="1"/>
  <c r="I7" i="11" s="1"/>
  <c r="I46" i="11"/>
  <c r="G26" i="11"/>
  <c r="H5" i="11"/>
  <c r="I5" i="11" s="1"/>
  <c r="F11" i="11"/>
  <c r="F15" i="11"/>
  <c r="F19" i="11"/>
  <c r="I39" i="11"/>
  <c r="F42" i="11"/>
  <c r="F24" i="11"/>
  <c r="F22" i="11"/>
  <c r="F21" i="11"/>
  <c r="F25" i="11"/>
  <c r="F23" i="11"/>
  <c r="F17" i="11"/>
  <c r="F9" i="11"/>
  <c r="F20" i="11"/>
  <c r="F18" i="11"/>
  <c r="F14" i="11"/>
  <c r="F10" i="11"/>
  <c r="F6" i="11"/>
  <c r="F13" i="11"/>
  <c r="L5" i="11"/>
  <c r="M5" i="11" s="1"/>
  <c r="N5" i="11" s="1"/>
  <c r="E32" i="11"/>
  <c r="K36" i="11"/>
  <c r="M36" i="11" s="1"/>
  <c r="N43" i="11"/>
  <c r="H46" i="3"/>
  <c r="K39" i="3"/>
  <c r="H38" i="3"/>
  <c r="H34" i="3"/>
  <c r="F30" i="3"/>
  <c r="G5" i="3"/>
  <c r="L5" i="3" s="1"/>
  <c r="K5" i="3"/>
  <c r="E26" i="3"/>
  <c r="E58" i="3" s="1"/>
  <c r="A58" i="3"/>
  <c r="G48" i="3"/>
  <c r="L47" i="3"/>
  <c r="L46" i="3"/>
  <c r="G44" i="3"/>
  <c r="L43" i="3"/>
  <c r="K43" i="3"/>
  <c r="H43" i="3"/>
  <c r="J43" i="3" s="1"/>
  <c r="L42" i="3"/>
  <c r="L39" i="3"/>
  <c r="L38" i="3"/>
  <c r="G36" i="3"/>
  <c r="L34" i="3"/>
  <c r="L36" i="3" s="1"/>
  <c r="L30" i="3"/>
  <c r="K30" i="3"/>
  <c r="G30" i="3"/>
  <c r="E30" i="3"/>
  <c r="M28" i="3"/>
  <c r="N28" i="3" s="1"/>
  <c r="L25" i="3"/>
  <c r="L24" i="3"/>
  <c r="L23" i="3"/>
  <c r="L22" i="3"/>
  <c r="L21" i="3"/>
  <c r="L20" i="3"/>
  <c r="L19" i="3"/>
  <c r="L18" i="3"/>
  <c r="L17" i="3"/>
  <c r="L16" i="3"/>
  <c r="L15" i="3"/>
  <c r="L14" i="3"/>
  <c r="L13" i="3"/>
  <c r="L12" i="3"/>
  <c r="L11" i="3"/>
  <c r="L10" i="3"/>
  <c r="L9" i="3"/>
  <c r="L8" i="3"/>
  <c r="L7" i="3"/>
  <c r="L6" i="3"/>
  <c r="J2" i="3"/>
  <c r="E1" i="3"/>
  <c r="C26" i="11" l="1"/>
  <c r="K40" i="11"/>
  <c r="M40" i="11" s="1"/>
  <c r="N40" i="11" s="1"/>
  <c r="H12" i="11"/>
  <c r="I12" i="11" s="1"/>
  <c r="J36" i="11"/>
  <c r="J48" i="11"/>
  <c r="I40" i="11"/>
  <c r="H16" i="11"/>
  <c r="I16" i="11" s="1"/>
  <c r="K8" i="11"/>
  <c r="M8" i="11" s="1"/>
  <c r="N8" i="11" s="1"/>
  <c r="K7" i="11"/>
  <c r="M7" i="11" s="1"/>
  <c r="N7" i="11" s="1"/>
  <c r="K48" i="11"/>
  <c r="M48" i="11" s="1"/>
  <c r="O48" i="11" s="1"/>
  <c r="D26" i="11"/>
  <c r="H23" i="11"/>
  <c r="I23" i="11" s="1"/>
  <c r="K23" i="11"/>
  <c r="F26" i="11"/>
  <c r="H6" i="11"/>
  <c r="I6" i="11" s="1"/>
  <c r="K6" i="11"/>
  <c r="H25" i="11"/>
  <c r="I25" i="11" s="1"/>
  <c r="K25" i="11"/>
  <c r="M25" i="11" s="1"/>
  <c r="N25" i="11" s="1"/>
  <c r="H19" i="11"/>
  <c r="I19" i="11" s="1"/>
  <c r="K19" i="11"/>
  <c r="M19" i="11" s="1"/>
  <c r="N19" i="11" s="1"/>
  <c r="G58" i="11"/>
  <c r="G60" i="11" s="1"/>
  <c r="G32" i="11"/>
  <c r="K9" i="11"/>
  <c r="M9" i="11" s="1"/>
  <c r="N9" i="11" s="1"/>
  <c r="H9" i="11"/>
  <c r="I9" i="11" s="1"/>
  <c r="K21" i="11"/>
  <c r="M21" i="11" s="1"/>
  <c r="N21" i="11" s="1"/>
  <c r="H21" i="11"/>
  <c r="I21" i="11" s="1"/>
  <c r="F44" i="11"/>
  <c r="H44" i="11" s="1"/>
  <c r="H42" i="11"/>
  <c r="K42" i="11"/>
  <c r="H15" i="11"/>
  <c r="I15" i="11" s="1"/>
  <c r="K15" i="11"/>
  <c r="M15" i="11" s="1"/>
  <c r="N15" i="11" s="1"/>
  <c r="K13" i="11"/>
  <c r="M13" i="11" s="1"/>
  <c r="N13" i="11" s="1"/>
  <c r="H13" i="11"/>
  <c r="I13" i="11" s="1"/>
  <c r="H18" i="11"/>
  <c r="I18" i="11" s="1"/>
  <c r="K18" i="11"/>
  <c r="M18" i="11" s="1"/>
  <c r="N18" i="11" s="1"/>
  <c r="K24" i="11"/>
  <c r="M24" i="11" s="1"/>
  <c r="N24" i="11" s="1"/>
  <c r="H24" i="11"/>
  <c r="I24" i="11" s="1"/>
  <c r="H20" i="11"/>
  <c r="I20" i="11" s="1"/>
  <c r="K20" i="11"/>
  <c r="M20" i="11" s="1"/>
  <c r="N20" i="11" s="1"/>
  <c r="H10" i="11"/>
  <c r="I10" i="11" s="1"/>
  <c r="K10" i="11"/>
  <c r="M10" i="11" s="1"/>
  <c r="N10" i="11" s="1"/>
  <c r="I30" i="11"/>
  <c r="J30" i="11"/>
  <c r="N36" i="11"/>
  <c r="O36" i="11"/>
  <c r="L26" i="11"/>
  <c r="M3" i="11"/>
  <c r="O3" i="11" s="1"/>
  <c r="H14" i="11"/>
  <c r="I14" i="11" s="1"/>
  <c r="K14" i="11"/>
  <c r="M14" i="11" s="1"/>
  <c r="N14" i="11" s="1"/>
  <c r="K17" i="11"/>
  <c r="M17" i="11" s="1"/>
  <c r="N17" i="11" s="1"/>
  <c r="H17" i="11"/>
  <c r="I17" i="11" s="1"/>
  <c r="K22" i="11"/>
  <c r="M22" i="11" s="1"/>
  <c r="N22" i="11" s="1"/>
  <c r="H22" i="11"/>
  <c r="I22" i="11" s="1"/>
  <c r="H11" i="11"/>
  <c r="I11" i="11" s="1"/>
  <c r="K11" i="11"/>
  <c r="M11" i="11" s="1"/>
  <c r="N11" i="11" s="1"/>
  <c r="H30" i="3"/>
  <c r="J30" i="3" s="1"/>
  <c r="F20" i="3"/>
  <c r="K20" i="3" s="1"/>
  <c r="M20" i="3" s="1"/>
  <c r="N20" i="3" s="1"/>
  <c r="I34" i="3"/>
  <c r="L40" i="3"/>
  <c r="L48" i="3"/>
  <c r="L44" i="3"/>
  <c r="M43" i="3"/>
  <c r="N43" i="3" s="1"/>
  <c r="M30" i="3"/>
  <c r="O30" i="3" s="1"/>
  <c r="F21" i="3"/>
  <c r="H21" i="3" s="1"/>
  <c r="I21" i="3" s="1"/>
  <c r="M39" i="3"/>
  <c r="N39" i="3" s="1"/>
  <c r="F22" i="3"/>
  <c r="L26" i="3"/>
  <c r="F7" i="3"/>
  <c r="K7" i="3" s="1"/>
  <c r="M7" i="3" s="1"/>
  <c r="N7" i="3" s="1"/>
  <c r="F42" i="3"/>
  <c r="F6" i="3"/>
  <c r="K6" i="3" s="1"/>
  <c r="M6" i="3" s="1"/>
  <c r="N6" i="3" s="1"/>
  <c r="K34" i="3"/>
  <c r="K36" i="3" s="1"/>
  <c r="M36" i="3" s="1"/>
  <c r="N36" i="3" s="1"/>
  <c r="F48" i="3"/>
  <c r="H48" i="3" s="1"/>
  <c r="J48" i="3" s="1"/>
  <c r="K46" i="3"/>
  <c r="M46" i="3" s="1"/>
  <c r="N46" i="3" s="1"/>
  <c r="G26" i="3"/>
  <c r="G58" i="3" s="1"/>
  <c r="G60" i="3" s="1"/>
  <c r="H39" i="3"/>
  <c r="H28" i="3"/>
  <c r="I28" i="3" s="1"/>
  <c r="I46" i="3"/>
  <c r="F36" i="3"/>
  <c r="H36" i="3" s="1"/>
  <c r="J36" i="3" s="1"/>
  <c r="F40" i="3"/>
  <c r="H40" i="3" s="1"/>
  <c r="J40" i="3" s="1"/>
  <c r="K38" i="3"/>
  <c r="M38" i="3" s="1"/>
  <c r="N38" i="3" s="1"/>
  <c r="H5" i="3"/>
  <c r="I5" i="3" s="1"/>
  <c r="H47" i="3"/>
  <c r="I47" i="3" s="1"/>
  <c r="K47" i="3"/>
  <c r="G3" i="3"/>
  <c r="C26" i="3" s="1"/>
  <c r="F9" i="3"/>
  <c r="H9" i="3" s="1"/>
  <c r="I9" i="3" s="1"/>
  <c r="F11" i="3"/>
  <c r="K11" i="3" s="1"/>
  <c r="M11" i="3" s="1"/>
  <c r="N11" i="3" s="1"/>
  <c r="F24" i="3"/>
  <c r="H24" i="3" s="1"/>
  <c r="I24" i="3" s="1"/>
  <c r="F18" i="3"/>
  <c r="H18" i="3" s="1"/>
  <c r="I18" i="3" s="1"/>
  <c r="M3" i="3"/>
  <c r="O3" i="3" s="1"/>
  <c r="E32" i="3"/>
  <c r="F16" i="3"/>
  <c r="K16" i="3" s="1"/>
  <c r="M16" i="3" s="1"/>
  <c r="N16" i="3" s="1"/>
  <c r="M5" i="3"/>
  <c r="N5" i="3" s="1"/>
  <c r="I43" i="3"/>
  <c r="I38" i="3"/>
  <c r="F25" i="3"/>
  <c r="K25" i="3" s="1"/>
  <c r="M25" i="3" s="1"/>
  <c r="N25" i="3" s="1"/>
  <c r="F8" i="3"/>
  <c r="F10" i="3"/>
  <c r="F13" i="3"/>
  <c r="F15" i="3"/>
  <c r="K15" i="3" s="1"/>
  <c r="M15" i="3" s="1"/>
  <c r="N15" i="3" s="1"/>
  <c r="F23" i="3"/>
  <c r="K23" i="3" s="1"/>
  <c r="F12" i="3"/>
  <c r="F14" i="3"/>
  <c r="F17" i="3"/>
  <c r="F19" i="3"/>
  <c r="K19" i="3" s="1"/>
  <c r="M19" i="3" s="1"/>
  <c r="N19" i="3" s="1"/>
  <c r="I30" i="3" l="1"/>
  <c r="O40" i="11"/>
  <c r="N48" i="11"/>
  <c r="F58" i="11"/>
  <c r="H26" i="11"/>
  <c r="F32" i="11"/>
  <c r="H32" i="11" s="1"/>
  <c r="K44" i="11"/>
  <c r="M44" i="11" s="1"/>
  <c r="M42" i="11"/>
  <c r="J44" i="11"/>
  <c r="I44" i="11"/>
  <c r="L32" i="11"/>
  <c r="L58" i="11"/>
  <c r="L60" i="11" s="1"/>
  <c r="I42" i="11"/>
  <c r="J42" i="11"/>
  <c r="M6" i="11"/>
  <c r="N6" i="11" s="1"/>
  <c r="K26" i="11"/>
  <c r="I39" i="3"/>
  <c r="N30" i="3"/>
  <c r="L58" i="3"/>
  <c r="L60" i="3" s="1"/>
  <c r="O43" i="3"/>
  <c r="L32" i="3"/>
  <c r="M34" i="3"/>
  <c r="N34" i="3" s="1"/>
  <c r="H20" i="3"/>
  <c r="I20" i="3" s="1"/>
  <c r="G32" i="3"/>
  <c r="I48" i="3"/>
  <c r="I36" i="3"/>
  <c r="O36" i="3"/>
  <c r="K40" i="3"/>
  <c r="M40" i="3" s="1"/>
  <c r="N40" i="3" s="1"/>
  <c r="I40" i="3"/>
  <c r="I3" i="3"/>
  <c r="K18" i="3"/>
  <c r="M18" i="3" s="1"/>
  <c r="N18" i="3" s="1"/>
  <c r="D26" i="3"/>
  <c r="K48" i="3"/>
  <c r="M48" i="3" s="1"/>
  <c r="M47" i="3"/>
  <c r="N47" i="3" s="1"/>
  <c r="K9" i="3"/>
  <c r="M9" i="3" s="1"/>
  <c r="N9" i="3" s="1"/>
  <c r="H6" i="3"/>
  <c r="I6" i="3" s="1"/>
  <c r="K24" i="3"/>
  <c r="M24" i="3" s="1"/>
  <c r="N24" i="3" s="1"/>
  <c r="K21" i="3"/>
  <c r="M21" i="3" s="1"/>
  <c r="N21" i="3" s="1"/>
  <c r="H11" i="3"/>
  <c r="I11" i="3" s="1"/>
  <c r="H16" i="3"/>
  <c r="I16" i="3" s="1"/>
  <c r="H15" i="3"/>
  <c r="I15" i="3" s="1"/>
  <c r="H7" i="3"/>
  <c r="I7" i="3" s="1"/>
  <c r="H25" i="3"/>
  <c r="I25" i="3" s="1"/>
  <c r="H19" i="3"/>
  <c r="I19" i="3" s="1"/>
  <c r="H14" i="3"/>
  <c r="I14" i="3" s="1"/>
  <c r="K14" i="3"/>
  <c r="M14" i="3" s="1"/>
  <c r="N14" i="3" s="1"/>
  <c r="K8" i="3"/>
  <c r="H8" i="3"/>
  <c r="I8" i="3" s="1"/>
  <c r="K17" i="3"/>
  <c r="M17" i="3" s="1"/>
  <c r="N17" i="3" s="1"/>
  <c r="H17" i="3"/>
  <c r="I17" i="3" s="1"/>
  <c r="H22" i="3"/>
  <c r="I22" i="3" s="1"/>
  <c r="K22" i="3"/>
  <c r="M22" i="3" s="1"/>
  <c r="N22" i="3" s="1"/>
  <c r="K12" i="3"/>
  <c r="M12" i="3" s="1"/>
  <c r="N12" i="3" s="1"/>
  <c r="H12" i="3"/>
  <c r="I12" i="3" s="1"/>
  <c r="H10" i="3"/>
  <c r="I10" i="3" s="1"/>
  <c r="K10" i="3"/>
  <c r="M10" i="3" s="1"/>
  <c r="N10" i="3" s="1"/>
  <c r="H23" i="3"/>
  <c r="I23" i="3" s="1"/>
  <c r="F44" i="3"/>
  <c r="H44" i="3" s="1"/>
  <c r="H42" i="3"/>
  <c r="K42" i="3"/>
  <c r="H13" i="3"/>
  <c r="I13" i="3" s="1"/>
  <c r="K13" i="3"/>
  <c r="M13" i="3" s="1"/>
  <c r="N13" i="3" s="1"/>
  <c r="F26" i="3"/>
  <c r="N44" i="11" l="1"/>
  <c r="O44" i="11"/>
  <c r="J32" i="11"/>
  <c r="I32" i="11"/>
  <c r="I26" i="11"/>
  <c r="J26" i="11"/>
  <c r="K58" i="11"/>
  <c r="M26" i="11"/>
  <c r="K32" i="11"/>
  <c r="M32" i="11" s="1"/>
  <c r="O42" i="11"/>
  <c r="N42" i="11"/>
  <c r="F60" i="11"/>
  <c r="H58" i="11"/>
  <c r="I58" i="11" s="1"/>
  <c r="F58" i="3"/>
  <c r="O40" i="3"/>
  <c r="O48" i="3"/>
  <c r="N48" i="3"/>
  <c r="M42" i="3"/>
  <c r="K44" i="3"/>
  <c r="M44" i="3" s="1"/>
  <c r="F32" i="3"/>
  <c r="H32" i="3" s="1"/>
  <c r="H26" i="3"/>
  <c r="I42" i="3"/>
  <c r="J42" i="3"/>
  <c r="M8" i="3"/>
  <c r="N8" i="3" s="1"/>
  <c r="K26" i="3"/>
  <c r="J44" i="3"/>
  <c r="I44" i="3"/>
  <c r="J58" i="11" l="1"/>
  <c r="N26" i="11"/>
  <c r="O26" i="11"/>
  <c r="K60" i="11"/>
  <c r="M58" i="11"/>
  <c r="N32" i="11"/>
  <c r="O32" i="11"/>
  <c r="O44" i="3"/>
  <c r="N44" i="3"/>
  <c r="F60" i="3"/>
  <c r="H58" i="3"/>
  <c r="I58" i="3" s="1"/>
  <c r="I32" i="3"/>
  <c r="J32" i="3"/>
  <c r="K32" i="3"/>
  <c r="M32" i="3" s="1"/>
  <c r="M26" i="3"/>
  <c r="K58" i="3"/>
  <c r="I26" i="3"/>
  <c r="J26" i="3"/>
  <c r="O42" i="3"/>
  <c r="N42" i="3"/>
  <c r="O58" i="11" l="1"/>
  <c r="N58" i="11"/>
  <c r="O32" i="3"/>
  <c r="N32" i="3"/>
  <c r="K60" i="3"/>
  <c r="M58" i="3"/>
  <c r="N26" i="3"/>
  <c r="O26" i="3"/>
  <c r="J58" i="3"/>
  <c r="O58" i="3" l="1"/>
  <c r="N58" i="3"/>
</calcChain>
</file>

<file path=xl/comments1.xml><?xml version="1.0" encoding="utf-8"?>
<comments xmlns="http://schemas.openxmlformats.org/spreadsheetml/2006/main" xmlns:mc="http://schemas.openxmlformats.org/markup-compatibility/2006" xmlns:xr="http://schemas.microsoft.com/office/spreadsheetml/2014/revision" mc:Ignorable="xr">
  <authors>
    <author>David Scott</author>
  </authors>
  <commentList>
    <comment ref="I5" authorId="0" shapeId="0" xr:uid="{68D8EFF9-73A6-4ED5-87FE-EA5E54CCB9C5}">
      <text>
        <r>
          <rPr>
            <b/>
            <sz val="9"/>
            <color indexed="81"/>
            <rFont val="Tahoma"/>
            <family val="2"/>
          </rPr>
          <t xml:space="preserve">
Note: If Labor </t>
        </r>
        <r>
          <rPr>
            <b/>
            <sz val="9"/>
            <color indexed="60"/>
            <rFont val="Tahoma"/>
            <family val="2"/>
          </rPr>
          <t>Margin Per Hour</t>
        </r>
        <r>
          <rPr>
            <b/>
            <sz val="9"/>
            <color indexed="81"/>
            <rFont val="Tahoma"/>
            <family val="2"/>
          </rPr>
          <t xml:space="preserve"> Delta is not in sync,
check Over/Under WIP Variance (</t>
        </r>
        <r>
          <rPr>
            <b/>
            <sz val="10"/>
            <color indexed="10"/>
            <rFont val="Tahoma"/>
            <family val="2"/>
          </rPr>
          <t>Cell J3</t>
        </r>
        <r>
          <rPr>
            <b/>
            <sz val="10"/>
            <color indexed="81"/>
            <rFont val="Tahoma"/>
            <family val="2"/>
          </rPr>
          <t>)</t>
        </r>
        <r>
          <rPr>
            <sz val="9"/>
            <color indexed="81"/>
            <rFont val="Tahoma"/>
            <family val="2"/>
          </rPr>
          <t xml:space="preserve">
</t>
        </r>
      </text>
    </comment>
  </commentList>
</comments>
</file>

<file path=xl/comments2.xml><?xml version="1.0" encoding="utf-8"?>
<comments xmlns="http://schemas.openxmlformats.org/spreadsheetml/2006/main" xmlns:mc="http://schemas.openxmlformats.org/markup-compatibility/2006" xmlns:xr="http://schemas.microsoft.com/office/spreadsheetml/2014/revision" mc:Ignorable="xr">
  <authors>
    <author>David Scott</author>
  </authors>
  <commentList>
    <comment ref="I5" authorId="0" shapeId="0" xr:uid="{237535B5-C7A3-4017-8BE9-183D46185B77}">
      <text>
        <r>
          <rPr>
            <b/>
            <sz val="9"/>
            <color indexed="81"/>
            <rFont val="Tahoma"/>
            <family val="2"/>
          </rPr>
          <t xml:space="preserve">
Note: If Labor </t>
        </r>
        <r>
          <rPr>
            <b/>
            <sz val="9"/>
            <color indexed="60"/>
            <rFont val="Tahoma"/>
            <family val="2"/>
          </rPr>
          <t>Margin Per Hour</t>
        </r>
        <r>
          <rPr>
            <b/>
            <sz val="9"/>
            <color indexed="81"/>
            <rFont val="Tahoma"/>
            <family val="2"/>
          </rPr>
          <t xml:space="preserve"> Delta is not in sync,
check Over/Under WIP Variance (</t>
        </r>
        <r>
          <rPr>
            <b/>
            <sz val="10"/>
            <color indexed="10"/>
            <rFont val="Tahoma"/>
            <family val="2"/>
          </rPr>
          <t>Cell J3</t>
        </r>
        <r>
          <rPr>
            <b/>
            <sz val="10"/>
            <color indexed="81"/>
            <rFont val="Tahoma"/>
            <family val="2"/>
          </rPr>
          <t>)</t>
        </r>
        <r>
          <rPr>
            <sz val="9"/>
            <color indexed="81"/>
            <rFont val="Tahoma"/>
            <family val="2"/>
          </rPr>
          <t xml:space="preserve">
</t>
        </r>
      </text>
    </comment>
  </commentList>
</comments>
</file>

<file path=xl/sharedStrings.xml><?xml version="1.0" encoding="utf-8"?>
<sst xmlns="http://schemas.openxmlformats.org/spreadsheetml/2006/main" count="314" uniqueCount="117">
  <si>
    <t>Actual Base Wage Rate</t>
  </si>
  <si>
    <t>YTD Labor Hours</t>
  </si>
  <si>
    <t>Bill Rate</t>
  </si>
  <si>
    <t xml:space="preserve">Category </t>
  </si>
  <si>
    <t xml:space="preserve">Sub Category </t>
  </si>
  <si>
    <t>ST Hrs</t>
  </si>
  <si>
    <t>OT Hrs</t>
  </si>
  <si>
    <t xml:space="preserve">Hours </t>
  </si>
  <si>
    <t>Revenue</t>
  </si>
  <si>
    <t>Expense</t>
  </si>
  <si>
    <t>Margin</t>
  </si>
  <si>
    <t>Margin Per Hour</t>
  </si>
  <si>
    <t>Total Margin</t>
  </si>
  <si>
    <t>YTD Revenue</t>
  </si>
  <si>
    <t>YTD Expense</t>
  </si>
  <si>
    <t>YTD Margin</t>
  </si>
  <si>
    <t>YTD PD Per HR</t>
  </si>
  <si>
    <t>Notes</t>
  </si>
  <si>
    <t>Labor</t>
  </si>
  <si>
    <t xml:space="preserve"> </t>
  </si>
  <si>
    <t>Materials</t>
  </si>
  <si>
    <t>Other</t>
  </si>
  <si>
    <t>Overhead</t>
  </si>
  <si>
    <t>Profit</t>
  </si>
  <si>
    <t>Labor Subtotal</t>
  </si>
  <si>
    <t>Subcontract</t>
  </si>
  <si>
    <t>Subcontract total</t>
  </si>
  <si>
    <t>Labor Total</t>
  </si>
  <si>
    <t>Material</t>
  </si>
  <si>
    <t>Material Total</t>
  </si>
  <si>
    <t xml:space="preserve">Equipment </t>
  </si>
  <si>
    <t>Equipment - Company Owned</t>
  </si>
  <si>
    <t>Equipment - 3rd Party</t>
  </si>
  <si>
    <t>Equipment Total</t>
  </si>
  <si>
    <t>Scaffold</t>
  </si>
  <si>
    <t>Scaffold - Adder</t>
  </si>
  <si>
    <t>Scaffold - Company Owned</t>
  </si>
  <si>
    <t>Scaffold Total</t>
  </si>
  <si>
    <t>Subsistence</t>
  </si>
  <si>
    <t>Other Revenue</t>
  </si>
  <si>
    <t>Other Total</t>
  </si>
  <si>
    <t>Totals:</t>
  </si>
  <si>
    <t>ST Hours</t>
  </si>
  <si>
    <t>OT Hours</t>
  </si>
  <si>
    <t/>
  </si>
  <si>
    <t>*</t>
  </si>
  <si>
    <t>jobNo</t>
  </si>
  <si>
    <t>Total Hours</t>
  </si>
  <si>
    <t>Labor Cost</t>
  </si>
  <si>
    <t>Scaffold-ADD</t>
  </si>
  <si>
    <t>3rd Party Cost</t>
  </si>
  <si>
    <t>In House Vehicles</t>
  </si>
  <si>
    <t>Company Equipment</t>
  </si>
  <si>
    <t>Material Cost</t>
  </si>
  <si>
    <t>Subcontract Cost</t>
  </si>
  <si>
    <t>Tools</t>
  </si>
  <si>
    <t>Consumables</t>
  </si>
  <si>
    <t>Other Cost</t>
  </si>
  <si>
    <t>FICA</t>
  </si>
  <si>
    <t>FUI</t>
  </si>
  <si>
    <t>SUI</t>
  </si>
  <si>
    <t>WC</t>
  </si>
  <si>
    <t>Gen Liab</t>
  </si>
  <si>
    <t>Umbr</t>
  </si>
  <si>
    <t>Pollution</t>
  </si>
  <si>
    <t>Healt</t>
  </si>
  <si>
    <t>Fringe</t>
  </si>
  <si>
    <t>Small</t>
  </si>
  <si>
    <t>PPE</t>
  </si>
  <si>
    <t>Consumable</t>
  </si>
  <si>
    <t>FICA P</t>
  </si>
  <si>
    <t>FUI P</t>
  </si>
  <si>
    <t>SUI P</t>
  </si>
  <si>
    <t>Other Revanue</t>
  </si>
  <si>
    <t>WC P</t>
  </si>
  <si>
    <t>Gen Liab P</t>
  </si>
  <si>
    <t>Umbr P</t>
  </si>
  <si>
    <t>Pollution P</t>
  </si>
  <si>
    <t>Healt P</t>
  </si>
  <si>
    <t>Fringe P</t>
  </si>
  <si>
    <t>Small P</t>
  </si>
  <si>
    <t>PPE P</t>
  </si>
  <si>
    <t>Consumable P</t>
  </si>
  <si>
    <t>Overhead P</t>
  </si>
  <si>
    <t>Profit P</t>
  </si>
  <si>
    <t>Tools Total</t>
  </si>
  <si>
    <t>Vehicles</t>
  </si>
  <si>
    <t>In Hause</t>
  </si>
  <si>
    <t>Vehicles Total</t>
  </si>
  <si>
    <t>Consumables Total</t>
  </si>
  <si>
    <t>enero - diciembre</t>
  </si>
  <si>
    <t>2.252-D</t>
  </si>
  <si>
    <t>Truck</t>
  </si>
  <si>
    <t>2.201-D</t>
  </si>
  <si>
    <t>Yoyos</t>
  </si>
  <si>
    <t>test</t>
  </si>
  <si>
    <t>2.500-M</t>
  </si>
  <si>
    <t>Insulation</t>
  </si>
  <si>
    <t>2.254-E</t>
  </si>
  <si>
    <t>Code</t>
  </si>
  <si>
    <t>Material Name</t>
  </si>
  <si>
    <t>Description</t>
  </si>
  <si>
    <t>Cost</t>
  </si>
  <si>
    <t>Date</t>
  </si>
  <si>
    <t>02/02/2022</t>
  </si>
  <si>
    <t>02/10/2022</t>
  </si>
  <si>
    <t>02/25/2022</t>
  </si>
  <si>
    <t>Type Material</t>
  </si>
  <si>
    <t>enero - octubre</t>
  </si>
  <si>
    <t>03/11/2022</t>
  </si>
  <si>
    <t>Test 1</t>
  </si>
  <si>
    <t>04/11/2022</t>
  </si>
  <si>
    <t>Test 2</t>
  </si>
  <si>
    <t>04/12/2022</t>
  </si>
  <si>
    <t>Test 3</t>
  </si>
  <si>
    <t>04/13/2022</t>
  </si>
  <si>
    <t>10/23/2022</t>
  </si>
</sst>
</file>

<file path=xl/styles.xml><?xml version="1.0" encoding="utf-8"?>
<styleSheet xmlns="http://schemas.openxmlformats.org/spreadsheetml/2006/main" xmlns:mc="http://schemas.openxmlformats.org/markup-compatibility/2006" xmlns:x14ac="http://schemas.microsoft.com/office/spreadsheetml/2009/9/ac" xmlns:x16r2="http://schemas.microsoft.com/office/spreadsheetml/2015/02/main" xmlns:xr="http://schemas.microsoft.com/office/spreadsheetml/2014/revision" xmlns:xr9="http://schemas.microsoft.com/office/spreadsheetml/2016/revision9" mc:Ignorable="x14ac x16r2 xr xr9">
  <numFmts count="12">
    <numFmt numFmtId="164" formatCode="_(&quot;$&quot;* #,##0.00_);_(&quot;$&quot;* \(#,##0.00\);_(&quot;$&quot;* &quot;-&quot;??_);_(@_)"/>
    <numFmt numFmtId="165" formatCode="_(* #,##0.00_);_(* \(#,##0.00\);_(* &quot;-&quot;??_);_(@_)"/>
    <numFmt numFmtId="166" formatCode="mmmm\-yyyy"/>
    <numFmt numFmtId="167" formatCode="_(&quot;Actual -&quot;\ #,##0.00_);_(&quot;Actual -&quot;\ \(#,##0.00\);_(&quot;Actual -&quot;\ &quot;-&quot;_);_(@_)"/>
    <numFmt numFmtId="168" formatCode="_(&quot;Contract -&quot;\ #,##0.00_);_(&quot;Contract -&quot;\ \(#,##0.00\);_(&quot;Contract -&quot;\ &quot;-&quot;_);_(@_)"/>
    <numFmt numFmtId="169" formatCode="_(&quot;Delta-&quot;\ #,##0.00_);_(&quot;Delta-&quot;\ \(#,##0.00\);_(&quot;Delta-&quot;\ &quot;-&quot;_);_(@_)"/>
    <numFmt numFmtId="170" formatCode="&quot;$&quot;#,##0.00"/>
    <numFmt numFmtId="171" formatCode="_(* #,##0_);_(* \(#,##0\);_(* &quot;-&quot;??_);_(@_)"/>
    <numFmt numFmtId="172" formatCode="0.0%"/>
    <numFmt numFmtId="173" formatCode="0.0"/>
    <numFmt numFmtId="174" formatCode="_(* #,##0.0_);_(* \(#,##0.0\);_(* &quot;-&quot;??_);_(@_)"/>
    <numFmt numFmtId="175" formatCode="m/d/yyyy;@"/>
  </numFmts>
  <fonts count="57" x14ac:knownFonts="1">
    <font>
      <sz val="11"/>
      <color theme="1"/>
      <name val="Calibri"/>
      <family val="2"/>
      <scheme val="minor"/>
    </font>
    <font>
      <sz val="11"/>
      <color theme="1"/>
      <name val="Calibri"/>
      <family val="2"/>
      <scheme val="minor"/>
    </font>
    <font>
      <b/>
      <sz val="11"/>
      <color theme="0"/>
      <name val="Calibri"/>
      <family val="2"/>
      <scheme val="minor"/>
    </font>
    <font>
      <b/>
      <sz val="8"/>
      <color theme="4" tint="-0.249977111117893"/>
      <name val="Calibri"/>
      <family val="2"/>
      <scheme val="minor"/>
    </font>
    <font>
      <b/>
      <i/>
      <sz val="18"/>
      <color rgb="FFFFFFCC"/>
      <name val="Calibri"/>
      <family val="2"/>
      <scheme val="minor"/>
    </font>
    <font>
      <b/>
      <sz val="18"/>
      <color rgb="FFFFFFCC"/>
      <name val="Calibri"/>
      <family val="2"/>
      <scheme val="minor"/>
    </font>
    <font>
      <b/>
      <sz val="10"/>
      <color rgb="FFFFFFCC"/>
      <name val="Calibri"/>
      <family val="2"/>
      <scheme val="minor"/>
    </font>
    <font>
      <b/>
      <sz val="8"/>
      <color rgb="FF3E6CC0"/>
      <name val="Calibri"/>
      <family val="2"/>
      <scheme val="minor"/>
    </font>
    <font>
      <b/>
      <sz val="10"/>
      <color theme="4" tint="-0.249977111117893"/>
      <name val="Calibri"/>
      <family val="2"/>
      <scheme val="minor"/>
    </font>
    <font>
      <b/>
      <sz val="8"/>
      <color rgb="FF0070C0"/>
      <name val="Calibri"/>
      <family val="2"/>
      <scheme val="minor"/>
    </font>
    <font>
      <b/>
      <sz val="8"/>
      <color rgb="FF4572C3"/>
      <name val="Calibri"/>
      <family val="2"/>
      <scheme val="minor"/>
    </font>
    <font>
      <b/>
      <sz val="28"/>
      <color theme="0"/>
      <name val="Calibri"/>
      <family val="2"/>
      <scheme val="minor"/>
    </font>
    <font>
      <b/>
      <sz val="7"/>
      <color rgb="FF4572C3"/>
      <name val="Calibri"/>
      <family val="2"/>
      <scheme val="minor"/>
    </font>
    <font>
      <b/>
      <sz val="24"/>
      <color rgb="FFFFFF00"/>
      <name val="Calibri"/>
      <family val="2"/>
      <scheme val="minor"/>
    </font>
    <font>
      <b/>
      <sz val="12"/>
      <color rgb="FFFFFF00"/>
      <name val="Calibri"/>
      <family val="2"/>
      <scheme val="minor"/>
    </font>
    <font>
      <b/>
      <sz val="11"/>
      <color rgb="FFFFFF00"/>
      <name val="Calibri"/>
      <family val="2"/>
      <scheme val="minor"/>
    </font>
    <font>
      <b/>
      <sz val="16"/>
      <color rgb="FFFFFFCC"/>
      <name val="Calibri"/>
      <family val="2"/>
      <scheme val="minor"/>
    </font>
    <font>
      <b/>
      <sz val="8"/>
      <color theme="2"/>
      <name val="Calibri"/>
      <family val="2"/>
      <scheme val="minor"/>
    </font>
    <font>
      <b/>
      <sz val="8"/>
      <color theme="0"/>
      <name val="Calibri"/>
      <family val="2"/>
      <scheme val="minor"/>
    </font>
    <font>
      <b/>
      <sz val="14"/>
      <color theme="0"/>
      <name val="Calibri"/>
      <family val="2"/>
      <scheme val="minor"/>
    </font>
    <font>
      <b/>
      <sz val="14"/>
      <color theme="1" tint="0.249977111117893"/>
      <name val="Calibri Light"/>
      <family val="2"/>
    </font>
    <font>
      <b/>
      <sz val="11"/>
      <color theme="1" tint="0.249977111117893"/>
      <name val="Calibri Light"/>
      <family val="2"/>
    </font>
    <font>
      <sz val="12"/>
      <color theme="1" tint="0.249977111117893"/>
      <name val="Calibri Light"/>
      <family val="2"/>
    </font>
    <font>
      <b/>
      <sz val="12"/>
      <color theme="1" tint="0.249977111117893"/>
      <name val="Calibri Light"/>
      <family val="2"/>
    </font>
    <font>
      <b/>
      <sz val="11"/>
      <color theme="2" tint="-0.499984740745262"/>
      <name val="Calibri Light"/>
      <family val="2"/>
    </font>
    <font>
      <sz val="10"/>
      <color theme="1"/>
      <name val="Calibri"/>
      <family val="2"/>
      <scheme val="minor"/>
    </font>
    <font>
      <sz val="12"/>
      <color theme="4" tint="0.79998168889431442"/>
      <name val="Calibri Light"/>
      <family val="2"/>
    </font>
    <font>
      <sz val="12"/>
      <color theme="3" tint="0.79998168889431442"/>
      <name val="Calibri Light"/>
      <family val="2"/>
    </font>
    <font>
      <sz val="12"/>
      <color theme="1"/>
      <name val="Calibri Light"/>
      <family val="2"/>
    </font>
    <font>
      <b/>
      <sz val="9"/>
      <color theme="1" tint="0.249977111117893"/>
      <name val="Calibri Light"/>
      <family val="2"/>
    </font>
    <font>
      <b/>
      <sz val="10"/>
      <color theme="1" tint="0.249977111117893"/>
      <name val="Calibri Light"/>
      <family val="2"/>
    </font>
    <font>
      <b/>
      <sz val="14"/>
      <color theme="1"/>
      <name val="Calibri Light"/>
      <family val="2"/>
      <scheme val="major"/>
    </font>
    <font>
      <sz val="12"/>
      <color theme="1"/>
      <name val="Calibri Light"/>
      <family val="2"/>
      <scheme val="major"/>
    </font>
    <font>
      <sz val="11"/>
      <color theme="1"/>
      <name val="Calibri Light"/>
      <family val="2"/>
      <scheme val="major"/>
    </font>
    <font>
      <sz val="12"/>
      <name val="Calibri Light"/>
      <family val="2"/>
    </font>
    <font>
      <b/>
      <sz val="8"/>
      <color theme="4" tint="0.39997558519241921"/>
      <name val="Calibri"/>
      <family val="2"/>
      <scheme val="minor"/>
    </font>
    <font>
      <b/>
      <sz val="17"/>
      <color rgb="FFFFFF00"/>
      <name val="Calibri"/>
      <family val="2"/>
      <scheme val="minor"/>
    </font>
    <font>
      <b/>
      <sz val="14"/>
      <color rgb="FFFFFF00"/>
      <name val="Calibri"/>
      <family val="2"/>
      <scheme val="minor"/>
    </font>
    <font>
      <b/>
      <sz val="16"/>
      <color rgb="FFFFFF00"/>
      <name val="Calibri"/>
      <family val="2"/>
      <scheme val="minor"/>
    </font>
    <font>
      <b/>
      <sz val="18"/>
      <color rgb="FFFFFF00"/>
      <name val="Calibri"/>
      <family val="2"/>
      <scheme val="minor"/>
    </font>
    <font>
      <b/>
      <sz val="17"/>
      <color theme="0"/>
      <name val="Calibri"/>
      <family val="2"/>
      <scheme val="minor"/>
    </font>
    <font>
      <b/>
      <sz val="9"/>
      <color theme="0"/>
      <name val="Calibri"/>
      <family val="2"/>
      <scheme val="minor"/>
    </font>
    <font>
      <b/>
      <sz val="9"/>
      <color theme="4" tint="-0.249977111117893"/>
      <name val="Calibri"/>
      <family val="2"/>
      <scheme val="minor"/>
    </font>
    <font>
      <b/>
      <sz val="9"/>
      <color rgb="FF4572C3"/>
      <name val="Calibri"/>
      <family val="2"/>
      <scheme val="minor"/>
    </font>
    <font>
      <sz val="11"/>
      <color theme="5" tint="0.39997558519241921"/>
      <name val="Calibri"/>
      <family val="2"/>
      <scheme val="minor"/>
    </font>
    <font>
      <sz val="11"/>
      <color theme="5" tint="0.79998168889431442"/>
      <name val="Calibri"/>
      <family val="2"/>
      <scheme val="minor"/>
    </font>
    <font>
      <b/>
      <sz val="9"/>
      <color indexed="81"/>
      <name val="Tahoma"/>
      <family val="2"/>
    </font>
    <font>
      <b/>
      <sz val="9"/>
      <color indexed="60"/>
      <name val="Tahoma"/>
      <family val="2"/>
    </font>
    <font>
      <b/>
      <sz val="10"/>
      <color indexed="10"/>
      <name val="Tahoma"/>
      <family val="2"/>
    </font>
    <font>
      <b/>
      <sz val="10"/>
      <color indexed="81"/>
      <name val="Tahoma"/>
      <family val="2"/>
    </font>
    <font>
      <sz val="9"/>
      <color indexed="81"/>
      <name val="Tahoma"/>
      <family val="2"/>
    </font>
    <font>
      <b/>
      <sz val="10"/>
      <color rgb="FFFFFF00"/>
      <name val="Calibri"/>
      <family val="2"/>
      <scheme val="minor"/>
    </font>
    <font>
      <sz val="8"/>
      <name val="Calibri"/>
      <family val="2"/>
      <scheme val="minor"/>
    </font>
    <font>
      <b/>
      <sz val="12"/>
      <color theme="1"/>
      <name val="Calibri"/>
      <family val="2"/>
      <scheme val="minor"/>
    </font>
    <font>
      <b/>
      <sz val="12"/>
      <color theme="1"/>
      <name val="Calibri Light"/>
      <family val="2"/>
      <scheme val="major"/>
    </font>
    <font>
      <sz val="12"/>
      <color theme="1"/>
      <name val="Calibri"/>
      <family val="2"/>
      <scheme val="minor"/>
    </font>
    <font>
      <b/>
      <sz val="11"/>
      <color theme="1"/>
      <name val="Calibri Light"/>
      <family val="2"/>
      <scheme val="major"/>
    </font>
  </fonts>
  <fills count="21">
    <fill>
      <patternFill patternType="none"/>
    </fill>
    <fill>
      <patternFill patternType="gray125"/>
    </fill>
    <fill>
      <patternFill patternType="solid">
        <fgColor theme="4"/>
        <bgColor theme="4"/>
      </patternFill>
    </fill>
    <fill>
      <patternFill patternType="solid">
        <fgColor rgb="FF4472C4"/>
        <bgColor theme="4"/>
      </patternFill>
    </fill>
    <fill>
      <gradientFill degree="270">
        <stop position="0">
          <color theme="4" tint="-0.25098422193060094"/>
        </stop>
        <stop position="1">
          <color theme="4"/>
        </stop>
      </gradientFill>
    </fill>
    <fill>
      <gradientFill degree="270">
        <stop position="0">
          <color theme="4" tint="0.40000610370189521"/>
        </stop>
        <stop position="1">
          <color theme="4" tint="-0.25098422193060094"/>
        </stop>
      </gradientFill>
    </fill>
    <fill>
      <patternFill patternType="solid">
        <fgColor theme="4" tint="0.79998168889431442"/>
        <bgColor indexed="64"/>
      </patternFill>
    </fill>
    <fill>
      <patternFill patternType="solid">
        <fgColor rgb="FFCBD6ED"/>
        <bgColor indexed="64"/>
      </patternFill>
    </fill>
    <fill>
      <patternFill patternType="solid">
        <fgColor rgb="FFFFFFEB"/>
        <bgColor indexed="64"/>
      </patternFill>
    </fill>
    <fill>
      <patternFill patternType="solid">
        <fgColor rgb="FFC6EFCE"/>
        <bgColor indexed="64"/>
      </patternFill>
    </fill>
    <fill>
      <patternFill patternType="solid">
        <fgColor theme="1"/>
        <bgColor indexed="64"/>
      </patternFill>
    </fill>
    <fill>
      <patternFill patternType="solid">
        <fgColor theme="0" tint="-0.14999847407452621"/>
        <bgColor indexed="64"/>
      </patternFill>
    </fill>
    <fill>
      <patternFill patternType="solid">
        <fgColor rgb="FFC7EFCF"/>
        <bgColor indexed="64"/>
      </patternFill>
    </fill>
    <fill>
      <patternFill patternType="solid">
        <fgColor theme="2"/>
        <bgColor indexed="64"/>
      </patternFill>
    </fill>
    <fill>
      <patternFill patternType="solid">
        <fgColor theme="9" tint="0.79998168889431442"/>
        <bgColor indexed="64"/>
      </patternFill>
    </fill>
    <fill>
      <patternFill patternType="solid">
        <fgColor theme="7" tint="0.79998168889431442"/>
        <bgColor indexed="64"/>
      </patternFill>
    </fill>
    <fill>
      <patternFill patternType="solid">
        <fgColor theme="5" tint="0.79998168889431442"/>
        <bgColor indexed="64"/>
      </patternFill>
    </fill>
    <fill>
      <patternFill patternType="solid">
        <fgColor theme="7" tint="0.59999389629810485"/>
        <bgColor indexed="64"/>
      </patternFill>
    </fill>
    <fill>
      <patternFill patternType="solid">
        <fgColor rgb="FF92D050"/>
        <bgColor indexed="64"/>
      </patternFill>
    </fill>
    <fill>
      <patternFill patternType="solid">
        <fgColor rgb="FFFF9999"/>
        <bgColor indexed="64"/>
      </patternFill>
    </fill>
    <fill>
      <patternFill patternType="solid">
        <fgColor rgb="FF99CCFF"/>
        <bgColor indexed="64"/>
      </patternFill>
    </fill>
  </fills>
  <borders count="198">
    <border>
      <left/>
      <right/>
      <top/>
      <bottom/>
      <diagonal/>
    </border>
    <border>
      <left style="medium">
        <color indexed="64"/>
      </left>
      <right/>
      <top style="medium">
        <color indexed="64"/>
      </top>
      <bottom style="medium">
        <color indexed="64"/>
      </bottom>
      <diagonal/>
    </border>
    <border>
      <left/>
      <right/>
      <top style="medium">
        <color indexed="64"/>
      </top>
      <bottom style="medium">
        <color indexed="64"/>
      </bottom>
      <diagonal/>
    </border>
    <border>
      <left/>
      <right/>
      <top style="medium">
        <color indexed="64"/>
      </top>
      <bottom/>
      <diagonal/>
    </border>
    <border>
      <left/>
      <right/>
      <top/>
      <bottom style="medium">
        <color indexed="64"/>
      </bottom>
      <diagonal/>
    </border>
    <border>
      <left/>
      <right style="medium">
        <color indexed="64"/>
      </right>
      <top style="medium">
        <color indexed="64"/>
      </top>
      <bottom style="medium">
        <color indexed="64"/>
      </bottom>
      <diagonal/>
    </border>
    <border>
      <left style="medium">
        <color indexed="64"/>
      </left>
      <right style="medium">
        <color indexed="64"/>
      </right>
      <top/>
      <bottom style="medium">
        <color indexed="64"/>
      </bottom>
      <diagonal/>
    </border>
    <border>
      <left style="thin">
        <color indexed="64"/>
      </left>
      <right style="medium">
        <color indexed="64"/>
      </right>
      <top style="medium">
        <color indexed="64"/>
      </top>
      <bottom style="medium">
        <color indexed="64"/>
      </bottom>
      <diagonal/>
    </border>
    <border>
      <left style="medium">
        <color indexed="64"/>
      </left>
      <right style="medium">
        <color indexed="64"/>
      </right>
      <top style="medium">
        <color indexed="64"/>
      </top>
      <bottom style="medium">
        <color indexed="64"/>
      </bottom>
      <diagonal/>
    </border>
    <border>
      <left style="medium">
        <color indexed="64"/>
      </left>
      <right style="thin">
        <color indexed="64"/>
      </right>
      <top style="medium">
        <color indexed="64"/>
      </top>
      <bottom style="thin">
        <color indexed="64"/>
      </bottom>
      <diagonal/>
    </border>
    <border>
      <left style="thin">
        <color indexed="64"/>
      </left>
      <right style="thin">
        <color indexed="64"/>
      </right>
      <top style="medium">
        <color indexed="64"/>
      </top>
      <bottom style="thin">
        <color indexed="64"/>
      </bottom>
      <diagonal/>
    </border>
    <border>
      <left style="thin">
        <color indexed="64"/>
      </left>
      <right style="medium">
        <color indexed="64"/>
      </right>
      <top style="medium">
        <color indexed="64"/>
      </top>
      <bottom style="thin">
        <color indexed="64"/>
      </bottom>
      <diagonal/>
    </border>
    <border>
      <left/>
      <right style="medium">
        <color indexed="64"/>
      </right>
      <top style="medium">
        <color indexed="64"/>
      </top>
      <bottom/>
      <diagonal/>
    </border>
    <border>
      <left style="medium">
        <color indexed="64"/>
      </left>
      <right style="thin">
        <color indexed="64"/>
      </right>
      <top/>
      <bottom style="medium">
        <color indexed="64"/>
      </bottom>
      <diagonal/>
    </border>
    <border>
      <left style="thin">
        <color indexed="64"/>
      </left>
      <right style="thin">
        <color indexed="64"/>
      </right>
      <top/>
      <bottom style="medium">
        <color indexed="64"/>
      </bottom>
      <diagonal/>
    </border>
    <border>
      <left style="thin">
        <color indexed="64"/>
      </left>
      <right style="medium">
        <color indexed="64"/>
      </right>
      <top/>
      <bottom style="medium">
        <color indexed="64"/>
      </bottom>
      <diagonal/>
    </border>
    <border>
      <left style="thin">
        <color indexed="64"/>
      </left>
      <right/>
      <top/>
      <bottom style="medium">
        <color indexed="64"/>
      </bottom>
      <diagonal/>
    </border>
    <border>
      <left style="medium">
        <color indexed="64"/>
      </left>
      <right style="thin">
        <color indexed="64"/>
      </right>
      <top style="thin">
        <color indexed="64"/>
      </top>
      <bottom style="medium">
        <color indexed="64"/>
      </bottom>
      <diagonal/>
    </border>
    <border>
      <left style="thin">
        <color indexed="64"/>
      </left>
      <right style="thin">
        <color indexed="64"/>
      </right>
      <top style="thin">
        <color indexed="64"/>
      </top>
      <bottom style="medium">
        <color indexed="64"/>
      </bottom>
      <diagonal/>
    </border>
    <border>
      <left style="thin">
        <color indexed="64"/>
      </left>
      <right style="medium">
        <color indexed="64"/>
      </right>
      <top style="thin">
        <color indexed="64"/>
      </top>
      <bottom style="medium">
        <color indexed="64"/>
      </bottom>
      <diagonal/>
    </border>
    <border>
      <left/>
      <right style="medium">
        <color indexed="64"/>
      </right>
      <top/>
      <bottom style="medium">
        <color indexed="64"/>
      </bottom>
      <diagonal/>
    </border>
    <border>
      <left/>
      <right style="thin">
        <color indexed="64"/>
      </right>
      <top/>
      <bottom/>
      <diagonal/>
    </border>
    <border>
      <left style="thin">
        <color indexed="64"/>
      </left>
      <right style="thin">
        <color indexed="64"/>
      </right>
      <top/>
      <bottom/>
      <diagonal/>
    </border>
    <border>
      <left style="thin">
        <color indexed="64"/>
      </left>
      <right style="medium">
        <color indexed="64"/>
      </right>
      <top style="medium">
        <color indexed="64"/>
      </top>
      <bottom/>
      <diagonal/>
    </border>
    <border>
      <left style="medium">
        <color indexed="64"/>
      </left>
      <right style="thin">
        <color indexed="64"/>
      </right>
      <top style="medium">
        <color indexed="64"/>
      </top>
      <bottom/>
      <diagonal/>
    </border>
    <border>
      <left style="thin">
        <color indexed="64"/>
      </left>
      <right style="thin">
        <color theme="0" tint="-0.24994659260841701"/>
      </right>
      <top style="medium">
        <color indexed="64"/>
      </top>
      <bottom style="thin">
        <color theme="0" tint="-0.24994659260841701"/>
      </bottom>
      <diagonal/>
    </border>
    <border>
      <left style="thin">
        <color theme="0" tint="-0.24994659260841701"/>
      </left>
      <right style="thin">
        <color theme="0" tint="-0.24994659260841701"/>
      </right>
      <top style="medium">
        <color indexed="64"/>
      </top>
      <bottom style="thin">
        <color theme="0" tint="-0.24994659260841701"/>
      </bottom>
      <diagonal/>
    </border>
    <border>
      <left style="thin">
        <color theme="0" tint="-0.24994659260841701"/>
      </left>
      <right style="thin">
        <color theme="0" tint="-0.24994659260841701"/>
      </right>
      <top style="medium">
        <color indexed="64"/>
      </top>
      <bottom/>
      <diagonal/>
    </border>
    <border>
      <left style="thin">
        <color theme="0" tint="-0.24994659260841701"/>
      </left>
      <right/>
      <top style="medium">
        <color indexed="64"/>
      </top>
      <bottom style="thin">
        <color theme="0" tint="-0.24994659260841701"/>
      </bottom>
      <diagonal/>
    </border>
    <border>
      <left style="medium">
        <color indexed="64"/>
      </left>
      <right style="medium">
        <color indexed="64"/>
      </right>
      <top style="medium">
        <color indexed="64"/>
      </top>
      <bottom/>
      <diagonal/>
    </border>
    <border>
      <left/>
      <right style="thin">
        <color theme="0" tint="-0.24994659260841701"/>
      </right>
      <top style="medium">
        <color indexed="64"/>
      </top>
      <bottom style="thin">
        <color theme="0" tint="-0.24994659260841701"/>
      </bottom>
      <diagonal/>
    </border>
    <border>
      <left style="medium">
        <color indexed="64"/>
      </left>
      <right style="thin">
        <color theme="0" tint="-0.24994659260841701"/>
      </right>
      <top style="medium">
        <color indexed="64"/>
      </top>
      <bottom style="thin">
        <color theme="0" tint="-0.24994659260841701"/>
      </bottom>
      <diagonal/>
    </border>
    <border>
      <left style="thin">
        <color theme="0" tint="-0.24994659260841701"/>
      </left>
      <right style="thin">
        <color indexed="64"/>
      </right>
      <top style="medium">
        <color indexed="64"/>
      </top>
      <bottom style="thin">
        <color theme="0" tint="-0.24994659260841701"/>
      </bottom>
      <diagonal/>
    </border>
    <border>
      <left/>
      <right style="medium">
        <color indexed="64"/>
      </right>
      <top style="medium">
        <color indexed="64"/>
      </top>
      <bottom style="thin">
        <color rgb="FFE5F5FF"/>
      </bottom>
      <diagonal/>
    </border>
    <border>
      <left style="medium">
        <color indexed="64"/>
      </left>
      <right style="thin">
        <color indexed="64"/>
      </right>
      <top/>
      <bottom/>
      <diagonal/>
    </border>
    <border>
      <left style="thin">
        <color indexed="64"/>
      </left>
      <right style="thin">
        <color theme="0" tint="-0.24994659260841701"/>
      </right>
      <top style="thin">
        <color theme="0" tint="-0.24994659260841701"/>
      </top>
      <bottom style="thin">
        <color theme="0" tint="-0.24994659260841701"/>
      </bottom>
      <diagonal/>
    </border>
    <border>
      <left style="thin">
        <color theme="0" tint="-0.24994659260841701"/>
      </left>
      <right style="thin">
        <color theme="0" tint="-0.24994659260841701"/>
      </right>
      <top style="thin">
        <color theme="0" tint="-0.24994659260841701"/>
      </top>
      <bottom style="thin">
        <color theme="0" tint="-0.24994659260841701"/>
      </bottom>
      <diagonal/>
    </border>
    <border>
      <left style="thin">
        <color theme="0" tint="-0.24994659260841701"/>
      </left>
      <right/>
      <top style="thin">
        <color theme="0" tint="-0.24994659260841701"/>
      </top>
      <bottom style="thin">
        <color theme="0" tint="-0.24994659260841701"/>
      </bottom>
      <diagonal/>
    </border>
    <border>
      <left style="medium">
        <color indexed="64"/>
      </left>
      <right style="medium">
        <color indexed="64"/>
      </right>
      <top/>
      <bottom/>
      <diagonal/>
    </border>
    <border>
      <left/>
      <right style="thin">
        <color theme="0" tint="-0.24994659260841701"/>
      </right>
      <top style="thin">
        <color theme="0" tint="-0.24994659260841701"/>
      </top>
      <bottom style="thin">
        <color theme="0" tint="-0.24994659260841701"/>
      </bottom>
      <diagonal/>
    </border>
    <border>
      <left style="medium">
        <color indexed="64"/>
      </left>
      <right style="thin">
        <color theme="0" tint="-0.24994659260841701"/>
      </right>
      <top style="thin">
        <color theme="0" tint="-0.24994659260841701"/>
      </top>
      <bottom style="thin">
        <color theme="0" tint="-0.24994659260841701"/>
      </bottom>
      <diagonal/>
    </border>
    <border>
      <left style="thin">
        <color theme="0" tint="-0.24994659260841701"/>
      </left>
      <right style="thin">
        <color indexed="64"/>
      </right>
      <top style="thin">
        <color theme="0" tint="-0.24994659260841701"/>
      </top>
      <bottom style="thin">
        <color theme="0" tint="-0.24994659260841701"/>
      </bottom>
      <diagonal/>
    </border>
    <border>
      <left style="thin">
        <color indexed="64"/>
      </left>
      <right style="medium">
        <color indexed="64"/>
      </right>
      <top/>
      <bottom/>
      <diagonal/>
    </border>
    <border>
      <left/>
      <right style="medium">
        <color indexed="64"/>
      </right>
      <top style="thin">
        <color rgb="FFE5F5FF"/>
      </top>
      <bottom style="thin">
        <color rgb="FFE5F5FF"/>
      </bottom>
      <diagonal/>
    </border>
    <border>
      <left style="thin">
        <color theme="0" tint="-0.24994659260841701"/>
      </left>
      <right style="thin">
        <color theme="0" tint="-0.24994659260841701"/>
      </right>
      <top/>
      <bottom style="thin">
        <color theme="0" tint="-0.24994659260841701"/>
      </bottom>
      <diagonal/>
    </border>
    <border>
      <left style="thin">
        <color indexed="64"/>
      </left>
      <right style="thin">
        <color theme="0" tint="-0.24994659260841701"/>
      </right>
      <top style="thin">
        <color theme="0" tint="-0.24994659260841701"/>
      </top>
      <bottom/>
      <diagonal/>
    </border>
    <border>
      <left style="medium">
        <color indexed="64"/>
      </left>
      <right style="medium">
        <color indexed="64"/>
      </right>
      <top/>
      <bottom style="double">
        <color indexed="64"/>
      </bottom>
      <diagonal/>
    </border>
    <border>
      <left style="thin">
        <color indexed="64"/>
      </left>
      <right style="medium">
        <color indexed="64"/>
      </right>
      <top/>
      <bottom style="double">
        <color indexed="64"/>
      </bottom>
      <diagonal/>
    </border>
    <border>
      <left style="medium">
        <color indexed="64"/>
      </left>
      <right/>
      <top style="double">
        <color indexed="64"/>
      </top>
      <bottom style="medium">
        <color indexed="64"/>
      </bottom>
      <diagonal/>
    </border>
    <border>
      <left/>
      <right style="thin">
        <color indexed="64"/>
      </right>
      <top style="double">
        <color indexed="64"/>
      </top>
      <bottom style="medium">
        <color indexed="64"/>
      </bottom>
      <diagonal/>
    </border>
    <border>
      <left style="thin">
        <color indexed="64"/>
      </left>
      <right style="thin">
        <color theme="0" tint="-0.24994659260841701"/>
      </right>
      <top style="double">
        <color indexed="64"/>
      </top>
      <bottom style="medium">
        <color indexed="64"/>
      </bottom>
      <diagonal/>
    </border>
    <border>
      <left style="thin">
        <color theme="0" tint="-0.24994659260841701"/>
      </left>
      <right style="thin">
        <color indexed="64"/>
      </right>
      <top style="double">
        <color indexed="64"/>
      </top>
      <bottom style="medium">
        <color indexed="64"/>
      </bottom>
      <diagonal/>
    </border>
    <border>
      <left style="thin">
        <color indexed="64"/>
      </left>
      <right style="thin">
        <color indexed="64"/>
      </right>
      <top style="double">
        <color indexed="64"/>
      </top>
      <bottom style="medium">
        <color indexed="64"/>
      </bottom>
      <diagonal/>
    </border>
    <border>
      <left style="thin">
        <color indexed="64"/>
      </left>
      <right/>
      <top style="double">
        <color indexed="64"/>
      </top>
      <bottom style="medium">
        <color indexed="64"/>
      </bottom>
      <diagonal/>
    </border>
    <border>
      <left style="medium">
        <color indexed="64"/>
      </left>
      <right style="thin">
        <color theme="0" tint="-0.34998626667073579"/>
      </right>
      <top style="double">
        <color indexed="64"/>
      </top>
      <bottom style="medium">
        <color indexed="64"/>
      </bottom>
      <diagonal/>
    </border>
    <border>
      <left style="thin">
        <color theme="0" tint="-0.34998626667073579"/>
      </left>
      <right/>
      <top style="double">
        <color indexed="64"/>
      </top>
      <bottom style="medium">
        <color indexed="64"/>
      </bottom>
      <diagonal/>
    </border>
    <border>
      <left style="medium">
        <color indexed="64"/>
      </left>
      <right/>
      <top/>
      <bottom/>
      <diagonal/>
    </border>
    <border>
      <left style="thin">
        <color indexed="64"/>
      </left>
      <right/>
      <top/>
      <bottom/>
      <diagonal/>
    </border>
    <border>
      <left style="medium">
        <color indexed="64"/>
      </left>
      <right style="thin">
        <color theme="0" tint="-0.34998626667073579"/>
      </right>
      <top/>
      <bottom/>
      <diagonal/>
    </border>
    <border>
      <left style="thin">
        <color theme="0" tint="-0.34998626667073579"/>
      </left>
      <right/>
      <top/>
      <bottom/>
      <diagonal/>
    </border>
    <border>
      <left style="thin">
        <color indexed="64"/>
      </left>
      <right style="thin">
        <color theme="0" tint="-0.24994659260841701"/>
      </right>
      <top/>
      <bottom/>
      <diagonal/>
    </border>
    <border>
      <left style="thin">
        <color theme="0" tint="-0.24994659260841701"/>
      </left>
      <right style="medium">
        <color indexed="64"/>
      </right>
      <top/>
      <bottom/>
      <diagonal/>
    </border>
    <border>
      <left style="thin">
        <color theme="0" tint="-0.34998626667073579"/>
      </left>
      <right style="thin">
        <color indexed="64"/>
      </right>
      <top style="thin">
        <color theme="0" tint="-0.24994659260841701"/>
      </top>
      <bottom style="thin">
        <color theme="0" tint="-0.24994659260841701"/>
      </bottom>
      <diagonal/>
    </border>
    <border>
      <left style="medium">
        <color indexed="64"/>
      </left>
      <right style="thin">
        <color indexed="64"/>
      </right>
      <top/>
      <bottom style="double">
        <color indexed="64"/>
      </bottom>
      <diagonal/>
    </border>
    <border>
      <left style="thin">
        <color indexed="64"/>
      </left>
      <right style="thin">
        <color indexed="64"/>
      </right>
      <top/>
      <bottom style="double">
        <color indexed="64"/>
      </bottom>
      <diagonal/>
    </border>
    <border>
      <left style="thin">
        <color indexed="64"/>
      </left>
      <right/>
      <top/>
      <bottom style="double">
        <color indexed="64"/>
      </bottom>
      <diagonal/>
    </border>
    <border>
      <left style="thin">
        <color theme="0" tint="-0.24994659260841701"/>
      </left>
      <right style="medium">
        <color indexed="64"/>
      </right>
      <top style="double">
        <color indexed="64"/>
      </top>
      <bottom style="medium">
        <color indexed="64"/>
      </bottom>
      <diagonal/>
    </border>
    <border>
      <left style="medium">
        <color indexed="64"/>
      </left>
      <right style="medium">
        <color indexed="64"/>
      </right>
      <top style="double">
        <color indexed="64"/>
      </top>
      <bottom style="medium">
        <color indexed="64"/>
      </bottom>
      <diagonal/>
    </border>
    <border>
      <left style="medium">
        <color indexed="64"/>
      </left>
      <right/>
      <top/>
      <bottom style="medium">
        <color indexed="64"/>
      </bottom>
      <diagonal/>
    </border>
    <border>
      <left/>
      <right style="thin">
        <color indexed="64"/>
      </right>
      <top/>
      <bottom style="medium">
        <color indexed="64"/>
      </bottom>
      <diagonal/>
    </border>
    <border>
      <left style="thin">
        <color indexed="64"/>
      </left>
      <right style="thin">
        <color theme="0" tint="-0.24994659260841701"/>
      </right>
      <top/>
      <bottom style="medium">
        <color indexed="64"/>
      </bottom>
      <diagonal/>
    </border>
    <border>
      <left style="thin">
        <color theme="0" tint="-0.24994659260841701"/>
      </left>
      <right style="medium">
        <color indexed="64"/>
      </right>
      <top/>
      <bottom style="medium">
        <color indexed="64"/>
      </bottom>
      <diagonal/>
    </border>
    <border>
      <left style="medium">
        <color indexed="64"/>
      </left>
      <right style="thin">
        <color theme="0" tint="-0.34998626667073579"/>
      </right>
      <top/>
      <bottom style="medium">
        <color indexed="64"/>
      </bottom>
      <diagonal/>
    </border>
    <border>
      <left style="thin">
        <color theme="0" tint="-0.34998626667073579"/>
      </left>
      <right/>
      <top/>
      <bottom style="medium">
        <color indexed="64"/>
      </bottom>
      <diagonal/>
    </border>
    <border>
      <left style="medium">
        <color indexed="64"/>
      </left>
      <right style="thin">
        <color theme="0" tint="-0.24994659260841701"/>
      </right>
      <top/>
      <bottom/>
      <diagonal/>
    </border>
    <border>
      <left style="thin">
        <color theme="0" tint="-0.24994659260841701"/>
      </left>
      <right style="thin">
        <color theme="0" tint="-0.24994659260841701"/>
      </right>
      <top/>
      <bottom/>
      <diagonal/>
    </border>
    <border>
      <left style="thin">
        <color theme="0" tint="-0.24994659260841701"/>
      </left>
      <right/>
      <top/>
      <bottom style="thin">
        <color theme="0" tint="-0.24994659260841701"/>
      </bottom>
      <diagonal/>
    </border>
    <border>
      <left/>
      <right style="thin">
        <color theme="0" tint="-0.24994659260841701"/>
      </right>
      <top/>
      <bottom style="thin">
        <color theme="0" tint="-0.24994659260841701"/>
      </bottom>
      <diagonal/>
    </border>
    <border>
      <left style="thin">
        <color theme="0" tint="-0.24994659260841701"/>
      </left>
      <right/>
      <top/>
      <bottom/>
      <diagonal/>
    </border>
    <border>
      <left style="thin">
        <color theme="0" tint="-0.34998626667073579"/>
      </left>
      <right style="thin">
        <color theme="0" tint="-0.24994659260841701"/>
      </right>
      <top/>
      <bottom/>
      <diagonal/>
    </border>
    <border>
      <left style="thin">
        <color theme="2" tint="-9.9948118533890809E-2"/>
      </left>
      <right style="thin">
        <color theme="2" tint="-9.9948118533890809E-2"/>
      </right>
      <top style="medium">
        <color indexed="64"/>
      </top>
      <bottom/>
      <diagonal/>
    </border>
    <border>
      <left/>
      <right style="thin">
        <color theme="0" tint="-0.34998626667073579"/>
      </right>
      <top style="medium">
        <color indexed="64"/>
      </top>
      <bottom/>
      <diagonal/>
    </border>
    <border>
      <left style="thin">
        <color theme="0" tint="-0.34998626667073579"/>
      </left>
      <right style="medium">
        <color indexed="64"/>
      </right>
      <top style="medium">
        <color indexed="64"/>
      </top>
      <bottom/>
      <diagonal/>
    </border>
    <border>
      <left/>
      <right style="thin">
        <color indexed="64"/>
      </right>
      <top style="medium">
        <color indexed="64"/>
      </top>
      <bottom style="thin">
        <color indexed="64"/>
      </bottom>
      <diagonal/>
    </border>
    <border>
      <left style="thin">
        <color indexed="64"/>
      </left>
      <right/>
      <top style="medium">
        <color indexed="64"/>
      </top>
      <bottom style="thin">
        <color indexed="64"/>
      </bottom>
      <diagonal/>
    </border>
    <border>
      <left style="medium">
        <color indexed="64"/>
      </left>
      <right style="thin">
        <color theme="0" tint="-0.34998626667073579"/>
      </right>
      <top style="medium">
        <color indexed="64"/>
      </top>
      <bottom style="medium">
        <color indexed="64"/>
      </bottom>
      <diagonal/>
    </border>
    <border>
      <left style="thin">
        <color theme="0" tint="-0.34998626667073579"/>
      </left>
      <right style="thin">
        <color indexed="64"/>
      </right>
      <top style="medium">
        <color auto="1"/>
      </top>
      <bottom style="medium">
        <color indexed="64"/>
      </bottom>
      <diagonal/>
    </border>
    <border>
      <left style="medium">
        <color indexed="64"/>
      </left>
      <right/>
      <top style="medium">
        <color indexed="64"/>
      </top>
      <bottom style="double">
        <color indexed="64"/>
      </bottom>
      <diagonal/>
    </border>
    <border>
      <left style="thin">
        <color indexed="64"/>
      </left>
      <right/>
      <top style="medium">
        <color indexed="64"/>
      </top>
      <bottom style="double">
        <color indexed="64"/>
      </bottom>
      <diagonal/>
    </border>
    <border>
      <left style="thin">
        <color indexed="64"/>
      </left>
      <right style="medium">
        <color indexed="64"/>
      </right>
      <top style="medium">
        <color indexed="64"/>
      </top>
      <bottom style="double">
        <color indexed="64"/>
      </bottom>
      <diagonal/>
    </border>
    <border>
      <left style="medium">
        <color indexed="64"/>
      </left>
      <right style="thin">
        <color theme="0" tint="-0.24994659260841701"/>
      </right>
      <top style="double">
        <color indexed="64"/>
      </top>
      <bottom style="medium">
        <color indexed="64"/>
      </bottom>
      <diagonal/>
    </border>
    <border>
      <left style="thin">
        <color theme="0" tint="-0.24994659260841701"/>
      </left>
      <right style="thin">
        <color theme="0" tint="-0.24994659260841701"/>
      </right>
      <top style="double">
        <color indexed="64"/>
      </top>
      <bottom style="medium">
        <color indexed="64"/>
      </bottom>
      <diagonal/>
    </border>
    <border>
      <left style="thin">
        <color theme="0" tint="-0.24994659260841701"/>
      </left>
      <right/>
      <top style="double">
        <color indexed="64"/>
      </top>
      <bottom style="medium">
        <color indexed="64"/>
      </bottom>
      <diagonal/>
    </border>
    <border>
      <left/>
      <right style="thin">
        <color theme="0" tint="-0.24994659260841701"/>
      </right>
      <top style="double">
        <color indexed="64"/>
      </top>
      <bottom style="medium">
        <color indexed="64"/>
      </bottom>
      <diagonal/>
    </border>
    <border>
      <left/>
      <right style="thin">
        <color theme="0" tint="-0.24994659260841701"/>
      </right>
      <top/>
      <bottom/>
      <diagonal/>
    </border>
    <border>
      <left style="thin">
        <color theme="0" tint="-0.24994659260841701"/>
      </left>
      <right style="thin">
        <color theme="0" tint="-0.24994659260841701"/>
      </right>
      <top style="thin">
        <color indexed="64"/>
      </top>
      <bottom style="thin">
        <color theme="0" tint="-0.24994659260841701"/>
      </bottom>
      <diagonal/>
    </border>
    <border>
      <left style="thin">
        <color theme="0" tint="-0.24994659260841701"/>
      </left>
      <right/>
      <top style="thin">
        <color indexed="64"/>
      </top>
      <bottom style="thin">
        <color theme="0" tint="-0.24994659260841701"/>
      </bottom>
      <diagonal/>
    </border>
    <border>
      <left/>
      <right style="thin">
        <color theme="0" tint="-0.24994659260841701"/>
      </right>
      <top style="thin">
        <color indexed="64"/>
      </top>
      <bottom style="thin">
        <color theme="0" tint="-0.24994659260841701"/>
      </bottom>
      <diagonal/>
    </border>
    <border>
      <left style="thin">
        <color theme="0" tint="-0.24994659260841701"/>
      </left>
      <right style="medium">
        <color indexed="64"/>
      </right>
      <top style="thin">
        <color indexed="64"/>
      </top>
      <bottom/>
      <diagonal/>
    </border>
    <border>
      <left style="medium">
        <color indexed="64"/>
      </left>
      <right style="thin">
        <color theme="0" tint="-0.24994659260841701"/>
      </right>
      <top style="thin">
        <color theme="0" tint="-0.24994659260841701"/>
      </top>
      <bottom style="double">
        <color indexed="64"/>
      </bottom>
      <diagonal/>
    </border>
    <border>
      <left style="thin">
        <color theme="0" tint="-0.24994659260841701"/>
      </left>
      <right style="thin">
        <color theme="0" tint="-0.24994659260841701"/>
      </right>
      <top style="thin">
        <color theme="0" tint="-0.24994659260841701"/>
      </top>
      <bottom style="double">
        <color indexed="64"/>
      </bottom>
      <diagonal/>
    </border>
    <border>
      <left style="thin">
        <color theme="0" tint="-0.24994659260841701"/>
      </left>
      <right/>
      <top style="thin">
        <color theme="0" tint="-0.24994659260841701"/>
      </top>
      <bottom style="double">
        <color indexed="64"/>
      </bottom>
      <diagonal/>
    </border>
    <border>
      <left/>
      <right style="thin">
        <color theme="0" tint="-0.24994659260841701"/>
      </right>
      <top style="thin">
        <color theme="0" tint="-0.24994659260841701"/>
      </top>
      <bottom style="double">
        <color indexed="64"/>
      </bottom>
      <diagonal/>
    </border>
    <border>
      <left style="thin">
        <color theme="0" tint="-0.24994659260841701"/>
      </left>
      <right style="thin">
        <color indexed="64"/>
      </right>
      <top style="thin">
        <color theme="0" tint="-0.24994659260841701"/>
      </top>
      <bottom style="double">
        <color indexed="64"/>
      </bottom>
      <diagonal/>
    </border>
    <border>
      <left style="medium">
        <color indexed="64"/>
      </left>
      <right style="thin">
        <color theme="0" tint="-0.24994659260841701"/>
      </right>
      <top/>
      <bottom style="medium">
        <color indexed="64"/>
      </bottom>
      <diagonal/>
    </border>
    <border>
      <left style="thin">
        <color theme="0" tint="-0.24994659260841701"/>
      </left>
      <right style="thin">
        <color theme="0" tint="-0.24994659260841701"/>
      </right>
      <top/>
      <bottom style="medium">
        <color indexed="64"/>
      </bottom>
      <diagonal/>
    </border>
    <border>
      <left style="thin">
        <color theme="0" tint="-0.24994659260841701"/>
      </left>
      <right/>
      <top/>
      <bottom style="medium">
        <color indexed="64"/>
      </bottom>
      <diagonal/>
    </border>
    <border>
      <left style="thin">
        <color indexed="64"/>
      </left>
      <right style="thin">
        <color theme="0" tint="-0.24994659260841701"/>
      </right>
      <top style="thin">
        <color indexed="64"/>
      </top>
      <bottom style="thin">
        <color theme="3" tint="0.79998168889431442"/>
      </bottom>
      <diagonal/>
    </border>
    <border>
      <left style="thin">
        <color theme="0" tint="-0.24994659260841701"/>
      </left>
      <right style="thin">
        <color theme="0" tint="-0.24994659260841701"/>
      </right>
      <top style="thin">
        <color indexed="64"/>
      </top>
      <bottom style="thin">
        <color theme="3" tint="0.79998168889431442"/>
      </bottom>
      <diagonal/>
    </border>
    <border>
      <left style="thin">
        <color theme="0" tint="-0.24994659260841701"/>
      </left>
      <right/>
      <top style="thin">
        <color indexed="64"/>
      </top>
      <bottom style="thin">
        <color theme="3" tint="0.79998168889431442"/>
      </bottom>
      <diagonal/>
    </border>
    <border>
      <left style="medium">
        <color indexed="64"/>
      </left>
      <right style="medium">
        <color indexed="64"/>
      </right>
      <top style="medium">
        <color indexed="64"/>
      </top>
      <bottom style="thin">
        <color theme="3" tint="0.79998168889431442"/>
      </bottom>
      <diagonal/>
    </border>
    <border>
      <left/>
      <right style="thin">
        <color theme="0" tint="-0.24994659260841701"/>
      </right>
      <top style="thin">
        <color indexed="64"/>
      </top>
      <bottom style="thin">
        <color theme="3" tint="0.79998168889431442"/>
      </bottom>
      <diagonal/>
    </border>
    <border>
      <left style="medium">
        <color indexed="64"/>
      </left>
      <right style="thin">
        <color theme="0" tint="-0.24994659260841701"/>
      </right>
      <top style="thin">
        <color indexed="64"/>
      </top>
      <bottom style="thin">
        <color theme="3" tint="0.79998168889431442"/>
      </bottom>
      <diagonal/>
    </border>
    <border>
      <left style="thin">
        <color theme="0" tint="-0.24994659260841701"/>
      </left>
      <right style="thin">
        <color indexed="64"/>
      </right>
      <top style="thin">
        <color theme="0" tint="-0.24994659260841701"/>
      </top>
      <bottom style="thin">
        <color theme="3" tint="0.79998168889431442"/>
      </bottom>
      <diagonal/>
    </border>
    <border>
      <left style="thin">
        <color theme="0" tint="-0.24994659260841701"/>
      </left>
      <right style="medium">
        <color indexed="64"/>
      </right>
      <top style="thin">
        <color indexed="64"/>
      </top>
      <bottom style="thin">
        <color theme="3" tint="0.79998168889431442"/>
      </bottom>
      <diagonal/>
    </border>
    <border>
      <left style="thin">
        <color theme="0" tint="-0.24994659260841701"/>
      </left>
      <right style="thin">
        <color indexed="64"/>
      </right>
      <top/>
      <bottom/>
      <diagonal/>
    </border>
    <border>
      <left style="medium">
        <color indexed="64"/>
      </left>
      <right/>
      <top style="medium">
        <color indexed="64"/>
      </top>
      <bottom/>
      <diagonal/>
    </border>
    <border>
      <left style="thin">
        <color theme="0" tint="-0.24994659260841701"/>
      </left>
      <right style="medium">
        <color indexed="64"/>
      </right>
      <top style="thin">
        <color theme="0" tint="-0.24994659260841701"/>
      </top>
      <bottom style="thin">
        <color theme="0" tint="-0.24994659260841701"/>
      </bottom>
      <diagonal/>
    </border>
    <border>
      <left style="thin">
        <color indexed="64"/>
      </left>
      <right style="thin">
        <color theme="0" tint="-0.24994659260841701"/>
      </right>
      <top style="thin">
        <color theme="0" tint="-0.24994659260841701"/>
      </top>
      <bottom style="double">
        <color indexed="64"/>
      </bottom>
      <diagonal/>
    </border>
    <border>
      <left style="thin">
        <color theme="0" tint="-0.24994659260841701"/>
      </left>
      <right style="thin">
        <color theme="0" tint="-0.24994659260841701"/>
      </right>
      <top style="double">
        <color indexed="64"/>
      </top>
      <bottom/>
      <diagonal/>
    </border>
    <border>
      <left style="medium">
        <color indexed="64"/>
      </left>
      <right style="medium">
        <color indexed="64"/>
      </right>
      <top style="double">
        <color indexed="64"/>
      </top>
      <bottom/>
      <diagonal/>
    </border>
    <border>
      <left/>
      <right style="medium">
        <color indexed="64"/>
      </right>
      <top style="thin">
        <color rgb="FFE5F5FF"/>
      </top>
      <bottom style="medium">
        <color indexed="64"/>
      </bottom>
      <diagonal/>
    </border>
    <border>
      <left/>
      <right style="medium">
        <color indexed="64"/>
      </right>
      <top/>
      <bottom/>
      <diagonal/>
    </border>
    <border>
      <left/>
      <right style="medium">
        <color indexed="64"/>
      </right>
      <top style="thin">
        <color rgb="FFE5F5FF"/>
      </top>
      <bottom/>
      <diagonal/>
    </border>
    <border>
      <left style="thin">
        <color theme="0" tint="-0.24994659260841701"/>
      </left>
      <right style="thin">
        <color theme="0" tint="-0.24994659260841701"/>
      </right>
      <top style="double">
        <color indexed="64"/>
      </top>
      <bottom style="medium">
        <color theme="1"/>
      </bottom>
      <diagonal/>
    </border>
    <border>
      <left style="thin">
        <color theme="0" tint="-0.24994659260841701"/>
      </left>
      <right style="medium">
        <color indexed="64"/>
      </right>
      <top style="double">
        <color indexed="64"/>
      </top>
      <bottom style="medium">
        <color theme="1"/>
      </bottom>
      <diagonal/>
    </border>
    <border>
      <left/>
      <right/>
      <top style="double">
        <color theme="1"/>
      </top>
      <bottom style="medium">
        <color indexed="64"/>
      </bottom>
      <diagonal/>
    </border>
    <border>
      <left/>
      <right style="thin">
        <color theme="1"/>
      </right>
      <top style="medium">
        <color indexed="64"/>
      </top>
      <bottom/>
      <diagonal/>
    </border>
    <border>
      <left/>
      <right style="thin">
        <color theme="1"/>
      </right>
      <top/>
      <bottom style="double">
        <color theme="1"/>
      </bottom>
      <diagonal/>
    </border>
    <border>
      <left/>
      <right style="thin">
        <color theme="2" tint="-0.249977111117893"/>
      </right>
      <top style="medium">
        <color indexed="64"/>
      </top>
      <bottom/>
      <diagonal/>
    </border>
    <border>
      <left/>
      <right style="thin">
        <color theme="2" tint="-0.249977111117893"/>
      </right>
      <top/>
      <bottom style="double">
        <color theme="1"/>
      </bottom>
      <diagonal/>
    </border>
    <border>
      <left style="thin">
        <color theme="2" tint="-0.249977111117893"/>
      </left>
      <right style="thin">
        <color theme="2" tint="-0.249977111117893"/>
      </right>
      <top style="medium">
        <color theme="1"/>
      </top>
      <bottom/>
      <diagonal/>
    </border>
    <border>
      <left style="thin">
        <color theme="2" tint="-0.249977111117893"/>
      </left>
      <right style="thin">
        <color theme="2" tint="-0.249977111117893"/>
      </right>
      <top/>
      <bottom style="double">
        <color theme="1"/>
      </bottom>
      <diagonal/>
    </border>
    <border>
      <left/>
      <right style="thin">
        <color theme="2" tint="-0.249977111117893"/>
      </right>
      <top style="double">
        <color theme="1"/>
      </top>
      <bottom style="medium">
        <color indexed="64"/>
      </bottom>
      <diagonal/>
    </border>
    <border>
      <left style="thin">
        <color theme="2" tint="-0.249977111117893"/>
      </left>
      <right style="thin">
        <color theme="2" tint="-0.249977111117893"/>
      </right>
      <top style="double">
        <color theme="1"/>
      </top>
      <bottom/>
      <diagonal/>
    </border>
    <border>
      <left style="thin">
        <color theme="2" tint="-0.249977111117893"/>
      </left>
      <right style="medium">
        <color indexed="64"/>
      </right>
      <top style="double">
        <color theme="1"/>
      </top>
      <bottom style="medium">
        <color theme="1"/>
      </bottom>
      <diagonal/>
    </border>
    <border>
      <left style="thin">
        <color theme="2" tint="-0.249977111117893"/>
      </left>
      <right/>
      <top style="double">
        <color theme="1"/>
      </top>
      <bottom style="medium">
        <color theme="1"/>
      </bottom>
      <diagonal/>
    </border>
    <border>
      <left style="thin">
        <color theme="2" tint="-0.249977111117893"/>
      </left>
      <right style="thin">
        <color theme="2" tint="-0.249977111117893"/>
      </right>
      <top style="double">
        <color theme="1"/>
      </top>
      <bottom style="medium">
        <color theme="1"/>
      </bottom>
      <diagonal/>
    </border>
    <border>
      <left/>
      <right/>
      <top style="double">
        <color theme="1"/>
      </top>
      <bottom style="medium">
        <color theme="1"/>
      </bottom>
      <diagonal/>
    </border>
    <border>
      <left style="thin">
        <color theme="2" tint="-0.249977111117893"/>
      </left>
      <right style="medium">
        <color indexed="64"/>
      </right>
      <top style="medium">
        <color theme="1"/>
      </top>
      <bottom/>
      <diagonal/>
    </border>
    <border>
      <left style="thin">
        <color theme="2" tint="-0.249977111117893"/>
      </left>
      <right style="medium">
        <color indexed="64"/>
      </right>
      <top/>
      <bottom style="double">
        <color theme="1"/>
      </bottom>
      <diagonal/>
    </border>
    <border>
      <left/>
      <right style="thin">
        <color indexed="64"/>
      </right>
      <top style="medium">
        <color indexed="64"/>
      </top>
      <bottom/>
      <diagonal/>
    </border>
    <border>
      <left/>
      <right style="thin">
        <color indexed="64"/>
      </right>
      <top/>
      <bottom style="double">
        <color theme="1"/>
      </bottom>
      <diagonal/>
    </border>
    <border>
      <left style="thin">
        <color indexed="64"/>
      </left>
      <right/>
      <top style="medium">
        <color indexed="64"/>
      </top>
      <bottom/>
      <diagonal/>
    </border>
    <border>
      <left style="thin">
        <color theme="2" tint="-0.249977111117893"/>
      </left>
      <right/>
      <top/>
      <bottom/>
      <diagonal/>
    </border>
    <border>
      <left style="thin">
        <color theme="2" tint="-0.249977111117893"/>
      </left>
      <right style="medium">
        <color indexed="64"/>
      </right>
      <top/>
      <bottom/>
      <diagonal/>
    </border>
    <border>
      <left style="medium">
        <color theme="1"/>
      </left>
      <right style="medium">
        <color theme="1"/>
      </right>
      <top/>
      <bottom style="medium">
        <color theme="1"/>
      </bottom>
      <diagonal/>
    </border>
    <border>
      <left style="medium">
        <color theme="1"/>
      </left>
      <right style="thin">
        <color indexed="64"/>
      </right>
      <top style="medium">
        <color theme="1"/>
      </top>
      <bottom style="medium">
        <color theme="1"/>
      </bottom>
      <diagonal/>
    </border>
    <border>
      <left style="medium">
        <color theme="1"/>
      </left>
      <right style="thin">
        <color indexed="64"/>
      </right>
      <top style="medium">
        <color indexed="64"/>
      </top>
      <bottom style="medium">
        <color indexed="64"/>
      </bottom>
      <diagonal/>
    </border>
    <border>
      <left style="thin">
        <color indexed="64"/>
      </left>
      <right style="thin">
        <color indexed="64"/>
      </right>
      <top style="medium">
        <color theme="1"/>
      </top>
      <bottom style="medium">
        <color indexed="64"/>
      </bottom>
      <diagonal/>
    </border>
    <border>
      <left style="thin">
        <color indexed="64"/>
      </left>
      <right style="medium">
        <color indexed="64"/>
      </right>
      <top style="medium">
        <color theme="1"/>
      </top>
      <bottom/>
      <diagonal/>
    </border>
    <border>
      <left style="thin">
        <color indexed="64"/>
      </left>
      <right style="thin">
        <color indexed="64"/>
      </right>
      <top style="medium">
        <color theme="1"/>
      </top>
      <bottom/>
      <diagonal/>
    </border>
    <border>
      <left style="thin">
        <color indexed="64"/>
      </left>
      <right/>
      <top/>
      <bottom style="double">
        <color theme="1"/>
      </bottom>
      <diagonal/>
    </border>
    <border>
      <left style="thin">
        <color indexed="64"/>
      </left>
      <right style="thin">
        <color theme="0" tint="-0.24994659260841701"/>
      </right>
      <top style="thick">
        <color theme="1"/>
      </top>
      <bottom style="thin">
        <color theme="0" tint="-0.24994659260841701"/>
      </bottom>
      <diagonal/>
    </border>
    <border>
      <left style="medium">
        <color indexed="64"/>
      </left>
      <right style="thin">
        <color indexed="64"/>
      </right>
      <top style="thick">
        <color theme="1"/>
      </top>
      <bottom/>
      <diagonal/>
    </border>
    <border>
      <left style="thin">
        <color theme="0" tint="-0.24994659260841701"/>
      </left>
      <right style="thin">
        <color theme="0" tint="-0.24994659260841701"/>
      </right>
      <top style="thick">
        <color theme="1"/>
      </top>
      <bottom style="thin">
        <color theme="0" tint="-0.24994659260841701"/>
      </bottom>
      <diagonal/>
    </border>
    <border>
      <left style="thin">
        <color theme="0" tint="-0.24994659260841701"/>
      </left>
      <right style="thin">
        <color theme="0" tint="-0.24994659260841701"/>
      </right>
      <top style="thick">
        <color theme="1"/>
      </top>
      <bottom/>
      <diagonal/>
    </border>
    <border>
      <left style="thin">
        <color theme="0" tint="-0.24994659260841701"/>
      </left>
      <right style="medium">
        <color indexed="64"/>
      </right>
      <top style="thick">
        <color theme="1"/>
      </top>
      <bottom style="thin">
        <color theme="0" tint="-0.24994659260841701"/>
      </bottom>
      <diagonal/>
    </border>
    <border>
      <left style="medium">
        <color indexed="64"/>
      </left>
      <right style="medium">
        <color indexed="64"/>
      </right>
      <top style="thick">
        <color theme="1"/>
      </top>
      <bottom style="thin">
        <color theme="0" tint="-0.24994659260841701"/>
      </bottom>
      <diagonal/>
    </border>
    <border>
      <left style="medium">
        <color indexed="64"/>
      </left>
      <right style="thin">
        <color theme="0" tint="-0.24994659260841701"/>
      </right>
      <top style="thick">
        <color theme="1"/>
      </top>
      <bottom style="thin">
        <color theme="0" tint="-0.24994659260841701"/>
      </bottom>
      <diagonal/>
    </border>
    <border>
      <left style="medium">
        <color indexed="64"/>
      </left>
      <right style="thin">
        <color theme="0" tint="-0.24994659260841701"/>
      </right>
      <top style="double">
        <color indexed="64"/>
      </top>
      <bottom/>
      <diagonal/>
    </border>
    <border>
      <left style="thin">
        <color theme="0" tint="-0.24994659260841701"/>
      </left>
      <right style="thin">
        <color indexed="64"/>
      </right>
      <top style="thick">
        <color theme="1"/>
      </top>
      <bottom style="thin">
        <color theme="0" tint="-0.24994659260841701"/>
      </bottom>
      <diagonal/>
    </border>
    <border>
      <left style="medium">
        <color indexed="64"/>
      </left>
      <right style="thin">
        <color theme="0" tint="-0.24994659260841701"/>
      </right>
      <top style="thick">
        <color theme="1"/>
      </top>
      <bottom/>
      <diagonal/>
    </border>
    <border>
      <left style="medium">
        <color indexed="64"/>
      </left>
      <right/>
      <top style="medium">
        <color theme="1"/>
      </top>
      <bottom/>
      <diagonal/>
    </border>
    <border>
      <left style="medium">
        <color indexed="64"/>
      </left>
      <right/>
      <top style="double">
        <color theme="1"/>
      </top>
      <bottom style="medium">
        <color theme="1"/>
      </bottom>
      <diagonal/>
    </border>
    <border>
      <left/>
      <right style="medium">
        <color indexed="64"/>
      </right>
      <top style="double">
        <color theme="1"/>
      </top>
      <bottom style="medium">
        <color indexed="64"/>
      </bottom>
      <diagonal/>
    </border>
    <border>
      <left style="medium">
        <color indexed="64"/>
      </left>
      <right/>
      <top style="double">
        <color theme="1"/>
      </top>
      <bottom style="medium">
        <color indexed="64"/>
      </bottom>
      <diagonal/>
    </border>
    <border>
      <left style="medium">
        <color indexed="64"/>
      </left>
      <right style="thin">
        <color theme="0" tint="-0.24994659260841701"/>
      </right>
      <top style="double">
        <color theme="1"/>
      </top>
      <bottom style="medium">
        <color indexed="64"/>
      </bottom>
      <diagonal/>
    </border>
    <border>
      <left/>
      <right style="thin">
        <color theme="0" tint="-0.24994659260841701"/>
      </right>
      <top style="thin">
        <color indexed="64"/>
      </top>
      <bottom/>
      <diagonal/>
    </border>
    <border>
      <left style="thin">
        <color theme="0" tint="-0.24994659260841701"/>
      </left>
      <right style="medium">
        <color indexed="64"/>
      </right>
      <top style="double">
        <color theme="1"/>
      </top>
      <bottom style="medium">
        <color indexed="64"/>
      </bottom>
      <diagonal/>
    </border>
    <border>
      <left style="thin">
        <color theme="0" tint="-0.24994659260841701"/>
      </left>
      <right/>
      <top style="thin">
        <color indexed="64"/>
      </top>
      <bottom/>
      <diagonal/>
    </border>
    <border>
      <left style="medium">
        <color theme="1"/>
      </left>
      <right/>
      <top style="medium">
        <color indexed="64"/>
      </top>
      <bottom style="medium">
        <color indexed="64"/>
      </bottom>
      <diagonal/>
    </border>
    <border>
      <left style="medium">
        <color theme="1"/>
      </left>
      <right/>
      <top style="double">
        <color theme="1"/>
      </top>
      <bottom style="medium">
        <color indexed="64"/>
      </bottom>
      <diagonal/>
    </border>
    <border>
      <left style="medium">
        <color theme="1"/>
      </left>
      <right/>
      <top style="medium">
        <color indexed="64"/>
      </top>
      <bottom style="double">
        <color theme="1"/>
      </bottom>
      <diagonal/>
    </border>
    <border>
      <left style="medium">
        <color indexed="64"/>
      </left>
      <right style="medium">
        <color theme="1"/>
      </right>
      <top style="double">
        <color theme="1"/>
      </top>
      <bottom style="medium">
        <color theme="1"/>
      </bottom>
      <diagonal/>
    </border>
    <border>
      <left style="medium">
        <color theme="1"/>
      </left>
      <right/>
      <top style="medium">
        <color indexed="64"/>
      </top>
      <bottom/>
      <diagonal/>
    </border>
    <border>
      <left style="double">
        <color theme="1"/>
      </left>
      <right/>
      <top style="double">
        <color theme="1"/>
      </top>
      <bottom/>
      <diagonal/>
    </border>
    <border>
      <left/>
      <right/>
      <top style="double">
        <color theme="1"/>
      </top>
      <bottom/>
      <diagonal/>
    </border>
    <border>
      <left/>
      <right style="double">
        <color theme="1"/>
      </right>
      <top style="double">
        <color theme="1"/>
      </top>
      <bottom/>
      <diagonal/>
    </border>
    <border>
      <left style="medium">
        <color theme="1"/>
      </left>
      <right/>
      <top/>
      <bottom/>
      <diagonal/>
    </border>
    <border>
      <left style="medium">
        <color indexed="64"/>
      </left>
      <right style="thin">
        <color indexed="64"/>
      </right>
      <top style="medium">
        <color theme="1"/>
      </top>
      <bottom style="medium">
        <color indexed="64"/>
      </bottom>
      <diagonal/>
    </border>
    <border>
      <left style="thin">
        <color indexed="64"/>
      </left>
      <right style="medium">
        <color indexed="64"/>
      </right>
      <top style="medium">
        <color theme="1"/>
      </top>
      <bottom style="medium">
        <color indexed="64"/>
      </bottom>
      <diagonal/>
    </border>
    <border>
      <left style="thin">
        <color theme="2" tint="-0.249977111117893"/>
      </left>
      <right style="medium">
        <color indexed="64"/>
      </right>
      <top style="medium">
        <color indexed="64"/>
      </top>
      <bottom style="medium">
        <color indexed="64"/>
      </bottom>
      <diagonal/>
    </border>
    <border>
      <left style="thin">
        <color theme="2" tint="-0.249977111117893"/>
      </left>
      <right style="medium">
        <color indexed="64"/>
      </right>
      <top style="double">
        <color theme="1"/>
      </top>
      <bottom style="medium">
        <color indexed="64"/>
      </bottom>
      <diagonal/>
    </border>
    <border>
      <left style="medium">
        <color theme="1"/>
      </left>
      <right style="thin">
        <color theme="2" tint="-0.249977111117893"/>
      </right>
      <top style="medium">
        <color indexed="64"/>
      </top>
      <bottom style="medium">
        <color indexed="64"/>
      </bottom>
      <diagonal/>
    </border>
    <border>
      <left style="thin">
        <color theme="2" tint="-0.249977111117893"/>
      </left>
      <right style="medium">
        <color indexed="64"/>
      </right>
      <top style="medium">
        <color indexed="64"/>
      </top>
      <bottom/>
      <diagonal/>
    </border>
    <border>
      <left style="medium">
        <color theme="1"/>
      </left>
      <right style="thin">
        <color theme="2" tint="-0.249977111117893"/>
      </right>
      <top style="double">
        <color theme="1"/>
      </top>
      <bottom style="medium">
        <color indexed="64"/>
      </bottom>
      <diagonal/>
    </border>
    <border>
      <left style="thin">
        <color theme="2" tint="-0.249977111117893"/>
      </left>
      <right style="thin">
        <color theme="2" tint="-0.249977111117893"/>
      </right>
      <top style="medium">
        <color indexed="64"/>
      </top>
      <bottom style="medium">
        <color indexed="64"/>
      </bottom>
      <diagonal/>
    </border>
    <border>
      <left style="thin">
        <color theme="2" tint="-0.249977111117893"/>
      </left>
      <right/>
      <top style="double">
        <color theme="1"/>
      </top>
      <bottom style="medium">
        <color indexed="64"/>
      </bottom>
      <diagonal/>
    </border>
    <border>
      <left style="medium">
        <color indexed="64"/>
      </left>
      <right style="thin">
        <color theme="2" tint="-0.249977111117893"/>
      </right>
      <top style="double">
        <color theme="1"/>
      </top>
      <bottom style="medium">
        <color indexed="64"/>
      </bottom>
      <diagonal/>
    </border>
    <border>
      <left style="thin">
        <color theme="2" tint="-0.249977111117893"/>
      </left>
      <right style="medium">
        <color indexed="64"/>
      </right>
      <top style="medium">
        <color indexed="64"/>
      </top>
      <bottom style="double">
        <color theme="1"/>
      </bottom>
      <diagonal/>
    </border>
    <border>
      <left style="thin">
        <color theme="2" tint="-0.249977111117893"/>
      </left>
      <right style="thin">
        <color theme="2" tint="-0.249977111117893"/>
      </right>
      <top style="medium">
        <color indexed="64"/>
      </top>
      <bottom style="double">
        <color theme="1"/>
      </bottom>
      <diagonal/>
    </border>
    <border>
      <left style="thin">
        <color theme="2" tint="-0.249977111117893"/>
      </left>
      <right/>
      <top/>
      <bottom style="medium">
        <color theme="1"/>
      </bottom>
      <diagonal/>
    </border>
    <border>
      <left style="thin">
        <color theme="2" tint="-0.249977111117893"/>
      </left>
      <right style="medium">
        <color theme="1"/>
      </right>
      <top/>
      <bottom style="medium">
        <color theme="1"/>
      </bottom>
      <diagonal/>
    </border>
    <border>
      <left style="thin">
        <color theme="1"/>
      </left>
      <right/>
      <top style="medium">
        <color indexed="64"/>
      </top>
      <bottom/>
      <diagonal/>
    </border>
    <border>
      <left style="thin">
        <color theme="1"/>
      </left>
      <right/>
      <top/>
      <bottom style="double">
        <color theme="1"/>
      </bottom>
      <diagonal/>
    </border>
    <border>
      <left style="medium">
        <color indexed="64"/>
      </left>
      <right style="thin">
        <color theme="0" tint="-0.24994659260841701"/>
      </right>
      <top style="thin">
        <color indexed="64"/>
      </top>
      <bottom/>
      <diagonal/>
    </border>
    <border>
      <left style="medium">
        <color indexed="64"/>
      </left>
      <right style="thin">
        <color theme="0" tint="-0.24994659260841701"/>
      </right>
      <top/>
      <bottom style="double">
        <color indexed="64"/>
      </bottom>
      <diagonal/>
    </border>
  </borders>
  <cellStyleXfs count="4">
    <xf numFmtId="0" fontId="0" fillId="0" borderId="0"/>
    <xf numFmtId="165" fontId="1" fillId="0" borderId="0" applyFont="0" applyFill="0" applyBorder="0" applyAlignment="0" applyProtection="0"/>
    <xf numFmtId="164" fontId="1" fillId="0" borderId="0" applyFont="0" applyFill="0" applyBorder="0" applyAlignment="0" applyProtection="0"/>
    <xf numFmtId="9" fontId="1" fillId="0" borderId="0" applyFont="0" applyFill="0" applyBorder="0" applyAlignment="0" applyProtection="0"/>
  </cellStyleXfs>
  <cellXfs count="483">
    <xf numFmtId="0" fontId="0" fillId="0" borderId="0" xfId="0"/>
    <xf numFmtId="0" fontId="7" fillId="2" borderId="3" xfId="0" applyFont="1" applyFill="1" applyBorder="1" applyAlignment="1" applyProtection="1">
      <alignment horizontal="center" vertical="center"/>
      <protection locked="0"/>
    </xf>
    <xf numFmtId="0" fontId="9" fillId="2" borderId="3" xfId="0" applyFont="1" applyFill="1" applyBorder="1" applyAlignment="1" applyProtection="1">
      <alignment horizontal="center" vertical="center"/>
      <protection locked="0"/>
    </xf>
    <xf numFmtId="0" fontId="3" fillId="2" borderId="3" xfId="0" applyFont="1" applyFill="1" applyBorder="1" applyAlignment="1" applyProtection="1">
      <alignment horizontal="center" vertical="center"/>
      <protection locked="0"/>
    </xf>
    <xf numFmtId="0" fontId="10" fillId="2" borderId="3" xfId="0" applyFont="1" applyFill="1" applyBorder="1" applyAlignment="1" applyProtection="1">
      <alignment horizontal="center" vertical="center"/>
      <protection locked="0"/>
    </xf>
    <xf numFmtId="0" fontId="16" fillId="5" borderId="8" xfId="0" applyFont="1" applyFill="1" applyBorder="1" applyAlignment="1" applyProtection="1">
      <alignment horizontal="center" vertical="center" shrinkToFit="1"/>
      <protection locked="0"/>
    </xf>
    <xf numFmtId="169" fontId="2" fillId="2" borderId="19" xfId="0" applyNumberFormat="1" applyFont="1" applyFill="1" applyBorder="1" applyAlignment="1" applyProtection="1">
      <alignment horizontal="center" vertical="center"/>
      <protection locked="0"/>
    </xf>
    <xf numFmtId="166" fontId="19" fillId="2" borderId="20" xfId="0" applyNumberFormat="1" applyFont="1" applyFill="1" applyBorder="1" applyAlignment="1" applyProtection="1">
      <alignment horizontal="center" vertical="center"/>
      <protection locked="0"/>
    </xf>
    <xf numFmtId="172" fontId="24" fillId="8" borderId="33" xfId="3" applyNumberFormat="1" applyFont="1" applyFill="1" applyBorder="1" applyAlignment="1" applyProtection="1">
      <alignment horizontal="left" vertical="center" wrapText="1"/>
      <protection locked="0"/>
    </xf>
    <xf numFmtId="164" fontId="22" fillId="6" borderId="36" xfId="2" applyFont="1" applyFill="1" applyBorder="1" applyAlignment="1" applyProtection="1">
      <alignment horizontal="center"/>
      <protection hidden="1"/>
    </xf>
    <xf numFmtId="172" fontId="24" fillId="8" borderId="43" xfId="3" applyNumberFormat="1" applyFont="1" applyFill="1" applyBorder="1" applyAlignment="1" applyProtection="1">
      <alignment horizontal="left" vertical="center" wrapText="1"/>
      <protection locked="0"/>
    </xf>
    <xf numFmtId="172" fontId="30" fillId="8" borderId="43" xfId="3" applyNumberFormat="1" applyFont="1" applyFill="1" applyBorder="1" applyAlignment="1" applyProtection="1">
      <alignment horizontal="left" vertical="center" wrapText="1"/>
      <protection locked="0"/>
    </xf>
    <xf numFmtId="172" fontId="20" fillId="8" borderId="43" xfId="3" applyNumberFormat="1" applyFont="1" applyFill="1" applyBorder="1" applyAlignment="1" applyProtection="1">
      <alignment horizontal="left" vertical="center"/>
      <protection locked="0"/>
    </xf>
    <xf numFmtId="172" fontId="20" fillId="11" borderId="38" xfId="3" applyNumberFormat="1" applyFont="1" applyFill="1" applyBorder="1" applyAlignment="1" applyProtection="1">
      <alignment horizontal="left" wrapText="1"/>
      <protection locked="0"/>
    </xf>
    <xf numFmtId="172" fontId="20" fillId="11" borderId="47" xfId="3" applyNumberFormat="1" applyFont="1" applyFill="1" applyBorder="1" applyAlignment="1" applyProtection="1">
      <alignment horizontal="left" wrapText="1"/>
      <protection locked="0"/>
    </xf>
    <xf numFmtId="172" fontId="20" fillId="13" borderId="42" xfId="3" applyNumberFormat="1" applyFont="1" applyFill="1" applyBorder="1" applyAlignment="1" applyProtection="1">
      <alignment horizontal="left" wrapText="1"/>
      <protection locked="0"/>
    </xf>
    <xf numFmtId="172" fontId="29" fillId="8" borderId="43" xfId="3" applyNumberFormat="1" applyFont="1" applyFill="1" applyBorder="1" applyAlignment="1" applyProtection="1">
      <alignment horizontal="left" vertical="center" wrapText="1"/>
      <protection locked="0"/>
    </xf>
    <xf numFmtId="172" fontId="20" fillId="8" borderId="46" xfId="3" applyNumberFormat="1" applyFont="1" applyFill="1" applyBorder="1" applyAlignment="1" applyProtection="1">
      <alignment horizontal="center"/>
      <protection locked="0"/>
    </xf>
    <xf numFmtId="172" fontId="20" fillId="8" borderId="89" xfId="3" applyNumberFormat="1" applyFont="1" applyFill="1" applyBorder="1" applyAlignment="1" applyProtection="1">
      <alignment horizontal="center"/>
      <protection locked="0"/>
    </xf>
    <xf numFmtId="172" fontId="21" fillId="8" borderId="43" xfId="3" applyNumberFormat="1" applyFont="1" applyFill="1" applyBorder="1" applyAlignment="1" applyProtection="1">
      <alignment horizontal="left" vertical="center"/>
      <protection locked="0"/>
    </xf>
    <xf numFmtId="172" fontId="30" fillId="8" borderId="121" xfId="3" applyNumberFormat="1" applyFont="1" applyFill="1" applyBorder="1" applyAlignment="1" applyProtection="1">
      <alignment horizontal="left" vertical="center" wrapText="1"/>
      <protection locked="0"/>
    </xf>
    <xf numFmtId="170" fontId="0" fillId="0" borderId="0" xfId="0" applyNumberFormat="1"/>
    <xf numFmtId="0" fontId="5" fillId="5" borderId="8" xfId="0" applyFont="1" applyFill="1" applyBorder="1" applyAlignment="1" applyProtection="1">
      <alignment horizontal="center" vertical="center"/>
      <protection locked="0"/>
    </xf>
    <xf numFmtId="10" fontId="0" fillId="0" borderId="0" xfId="3" applyNumberFormat="1" applyFont="1"/>
    <xf numFmtId="170" fontId="0" fillId="0" borderId="0" xfId="3" applyNumberFormat="1" applyFont="1"/>
    <xf numFmtId="0" fontId="3" fillId="2" borderId="1" xfId="0" applyFont="1" applyFill="1" applyBorder="1" applyAlignment="1" applyProtection="1">
      <alignment horizontal="left" vertical="center" textRotation="90" wrapText="1"/>
      <protection locked="0"/>
    </xf>
    <xf numFmtId="0" fontId="5" fillId="3" borderId="2" xfId="0" applyFont="1" applyFill="1" applyBorder="1" applyAlignment="1" applyProtection="1">
      <alignment horizontal="center" vertical="center"/>
      <protection locked="0"/>
    </xf>
    <xf numFmtId="0" fontId="6" fillId="2" borderId="2" xfId="0" applyFont="1" applyFill="1" applyBorder="1" applyAlignment="1" applyProtection="1">
      <alignment horizontal="center" vertical="center" wrapText="1"/>
      <protection locked="0"/>
    </xf>
    <xf numFmtId="0" fontId="11" fillId="2" borderId="5" xfId="0" applyFont="1" applyFill="1" applyBorder="1" applyAlignment="1" applyProtection="1">
      <alignment horizontal="center" vertical="center"/>
      <protection locked="0"/>
    </xf>
    <xf numFmtId="0" fontId="0" fillId="0" borderId="0" xfId="0" applyProtection="1">
      <protection locked="0"/>
    </xf>
    <xf numFmtId="0" fontId="12" fillId="2" borderId="6" xfId="0" applyFont="1" applyFill="1" applyBorder="1" applyAlignment="1" applyProtection="1">
      <alignment horizontal="center" wrapText="1"/>
      <protection locked="0"/>
    </xf>
    <xf numFmtId="164" fontId="15" fillId="4" borderId="8" xfId="0" applyNumberFormat="1" applyFont="1" applyFill="1" applyBorder="1" applyAlignment="1" applyProtection="1">
      <alignment horizontal="center" vertical="center" wrapText="1"/>
      <protection locked="0"/>
    </xf>
    <xf numFmtId="0" fontId="11" fillId="2" borderId="12" xfId="0" applyFont="1" applyFill="1" applyBorder="1" applyAlignment="1" applyProtection="1">
      <alignment horizontal="center" vertical="center"/>
      <protection locked="0"/>
    </xf>
    <xf numFmtId="0" fontId="0" fillId="0" borderId="0" xfId="0" applyAlignment="1" applyProtection="1">
      <alignment horizontal="center"/>
      <protection locked="0"/>
    </xf>
    <xf numFmtId="0" fontId="9" fillId="2" borderId="1" xfId="0" applyFont="1" applyFill="1" applyBorder="1" applyAlignment="1" applyProtection="1">
      <alignment horizontal="center" vertical="center"/>
      <protection locked="0"/>
    </xf>
    <xf numFmtId="0" fontId="9" fillId="2" borderId="2" xfId="0" applyFont="1" applyFill="1" applyBorder="1" applyAlignment="1" applyProtection="1">
      <alignment horizontal="center" vertical="center"/>
      <protection locked="0"/>
    </xf>
    <xf numFmtId="167" fontId="2" fillId="2" borderId="13" xfId="0" quotePrefix="1" applyNumberFormat="1" applyFont="1" applyFill="1" applyBorder="1" applyAlignment="1" applyProtection="1">
      <alignment horizontal="center" vertical="center"/>
      <protection locked="0"/>
    </xf>
    <xf numFmtId="168" fontId="2" fillId="2" borderId="14" xfId="0" quotePrefix="1" applyNumberFormat="1" applyFont="1" applyFill="1" applyBorder="1" applyAlignment="1" applyProtection="1">
      <alignment horizontal="center" vertical="center"/>
      <protection locked="0"/>
    </xf>
    <xf numFmtId="169" fontId="2" fillId="3" borderId="15" xfId="0" applyNumberFormat="1" applyFont="1" applyFill="1" applyBorder="1" applyAlignment="1" applyProtection="1">
      <alignment horizontal="center" vertical="center"/>
      <protection locked="0"/>
    </xf>
    <xf numFmtId="170" fontId="15" fillId="3" borderId="13" xfId="2" applyNumberFormat="1" applyFont="1" applyFill="1" applyBorder="1" applyAlignment="1" applyProtection="1">
      <alignment horizontal="center" vertical="center"/>
      <protection locked="0"/>
    </xf>
    <xf numFmtId="165" fontId="17" fillId="2" borderId="14" xfId="1" applyFont="1" applyFill="1" applyBorder="1" applyAlignment="1" applyProtection="1">
      <alignment horizontal="center" vertical="center"/>
      <protection locked="0"/>
    </xf>
    <xf numFmtId="165" fontId="18" fillId="2" borderId="16" xfId="1" applyFont="1" applyFill="1" applyBorder="1" applyAlignment="1" applyProtection="1">
      <alignment horizontal="center" vertical="center"/>
      <protection locked="0"/>
    </xf>
    <xf numFmtId="167" fontId="2" fillId="2" borderId="17" xfId="0" quotePrefix="1" applyNumberFormat="1" applyFont="1" applyFill="1" applyBorder="1" applyAlignment="1" applyProtection="1">
      <alignment horizontal="center" vertical="center"/>
      <protection locked="0"/>
    </xf>
    <xf numFmtId="168" fontId="2" fillId="2" borderId="18" xfId="0" quotePrefix="1" applyNumberFormat="1" applyFont="1" applyFill="1" applyBorder="1" applyAlignment="1" applyProtection="1">
      <alignment horizontal="center" vertical="center"/>
      <protection locked="0"/>
    </xf>
    <xf numFmtId="0" fontId="19" fillId="2" borderId="13" xfId="0" applyFont="1" applyFill="1" applyBorder="1" applyAlignment="1" applyProtection="1">
      <alignment horizontal="center" vertical="center"/>
      <protection locked="0"/>
    </xf>
    <xf numFmtId="0" fontId="19" fillId="2" borderId="14" xfId="0" applyFont="1" applyFill="1" applyBorder="1" applyAlignment="1" applyProtection="1">
      <alignment horizontal="center" vertical="center"/>
      <protection locked="0"/>
    </xf>
    <xf numFmtId="2" fontId="19" fillId="2" borderId="14" xfId="0" applyNumberFormat="1" applyFont="1" applyFill="1" applyBorder="1" applyAlignment="1" applyProtection="1">
      <alignment horizontal="center" vertical="center"/>
      <protection locked="0"/>
    </xf>
    <xf numFmtId="0" fontId="19" fillId="2" borderId="14" xfId="0" applyFont="1" applyFill="1" applyBorder="1" applyAlignment="1" applyProtection="1">
      <alignment horizontal="center" vertical="center" wrapText="1"/>
      <protection locked="0"/>
    </xf>
    <xf numFmtId="0" fontId="19" fillId="2" borderId="16" xfId="0" applyFont="1" applyFill="1" applyBorder="1" applyAlignment="1" applyProtection="1">
      <alignment horizontal="center" vertical="center"/>
      <protection locked="0"/>
    </xf>
    <xf numFmtId="0" fontId="19" fillId="2" borderId="6" xfId="0" applyFont="1" applyFill="1" applyBorder="1" applyAlignment="1" applyProtection="1">
      <alignment horizontal="center" vertical="center"/>
      <protection locked="0"/>
    </xf>
    <xf numFmtId="0" fontId="19" fillId="2" borderId="21" xfId="0" applyFont="1" applyFill="1" applyBorder="1" applyAlignment="1" applyProtection="1">
      <alignment horizontal="center" vertical="center"/>
      <protection locked="0"/>
    </xf>
    <xf numFmtId="0" fontId="19" fillId="2" borderId="22" xfId="0" applyFont="1" applyFill="1" applyBorder="1" applyAlignment="1" applyProtection="1">
      <alignment horizontal="center" vertical="center"/>
      <protection locked="0"/>
    </xf>
    <xf numFmtId="0" fontId="19" fillId="2" borderId="23" xfId="0" applyFont="1" applyFill="1" applyBorder="1" applyAlignment="1" applyProtection="1">
      <alignment horizontal="center" vertical="center"/>
      <protection locked="0"/>
    </xf>
    <xf numFmtId="0" fontId="21" fillId="6" borderId="25" xfId="0" applyFont="1" applyFill="1" applyBorder="1" applyAlignment="1" applyProtection="1">
      <alignment horizontal="center"/>
      <protection locked="0"/>
    </xf>
    <xf numFmtId="164" fontId="23" fillId="0" borderId="26" xfId="2" applyFont="1" applyBorder="1" applyAlignment="1" applyProtection="1">
      <alignment horizontal="center"/>
      <protection locked="0"/>
    </xf>
    <xf numFmtId="164" fontId="23" fillId="0" borderId="28" xfId="2" applyFont="1" applyBorder="1" applyAlignment="1" applyProtection="1">
      <alignment horizontal="center"/>
      <protection locked="0"/>
    </xf>
    <xf numFmtId="164" fontId="22" fillId="6" borderId="29" xfId="2" applyFont="1" applyFill="1" applyBorder="1" applyAlignment="1" applyProtection="1">
      <alignment horizontal="center"/>
      <protection locked="0"/>
    </xf>
    <xf numFmtId="164" fontId="22" fillId="7" borderId="30" xfId="3" applyNumberFormat="1" applyFont="1" applyFill="1" applyBorder="1" applyAlignment="1" applyProtection="1">
      <alignment horizontal="center"/>
      <protection locked="0"/>
    </xf>
    <xf numFmtId="164" fontId="22" fillId="6" borderId="28" xfId="2" applyFont="1" applyFill="1" applyBorder="1" applyAlignment="1" applyProtection="1">
      <alignment horizontal="center"/>
      <protection locked="0"/>
    </xf>
    <xf numFmtId="164" fontId="23" fillId="0" borderId="31" xfId="2" applyFont="1" applyBorder="1" applyAlignment="1" applyProtection="1">
      <alignment horizontal="center"/>
      <protection locked="0"/>
    </xf>
    <xf numFmtId="164" fontId="23" fillId="0" borderId="32" xfId="2" applyFont="1" applyBorder="1" applyAlignment="1" applyProtection="1">
      <alignment horizontal="center"/>
      <protection locked="0"/>
    </xf>
    <xf numFmtId="164" fontId="22" fillId="6" borderId="23" xfId="2" applyFont="1" applyFill="1" applyBorder="1" applyAlignment="1" applyProtection="1">
      <alignment horizontal="center"/>
      <protection locked="0"/>
    </xf>
    <xf numFmtId="0" fontId="25" fillId="0" borderId="0" xfId="0" applyFont="1" applyProtection="1">
      <protection locked="0"/>
    </xf>
    <xf numFmtId="0" fontId="21" fillId="6" borderId="35" xfId="0" applyFont="1" applyFill="1" applyBorder="1" applyAlignment="1" applyProtection="1">
      <alignment horizontal="center"/>
      <protection locked="0"/>
    </xf>
    <xf numFmtId="171" fontId="21" fillId="6" borderId="36" xfId="1" applyNumberFormat="1" applyFont="1" applyFill="1" applyBorder="1" applyAlignment="1" applyProtection="1">
      <alignment horizontal="center" vertical="center"/>
      <protection locked="0"/>
    </xf>
    <xf numFmtId="164" fontId="22" fillId="6" borderId="36" xfId="2" applyFont="1" applyFill="1" applyBorder="1" applyAlignment="1" applyProtection="1">
      <alignment horizontal="center"/>
      <protection locked="0"/>
    </xf>
    <xf numFmtId="164" fontId="23" fillId="0" borderId="36" xfId="2" applyFont="1" applyBorder="1" applyAlignment="1" applyProtection="1">
      <alignment horizontal="center"/>
      <protection locked="0"/>
    </xf>
    <xf numFmtId="164" fontId="23" fillId="0" borderId="37" xfId="2" applyFont="1" applyBorder="1" applyAlignment="1" applyProtection="1">
      <alignment horizontal="center"/>
      <protection locked="0"/>
    </xf>
    <xf numFmtId="164" fontId="26" fillId="6" borderId="38" xfId="2" applyFont="1" applyFill="1" applyBorder="1" applyAlignment="1" applyProtection="1">
      <alignment horizontal="center"/>
      <protection locked="0"/>
    </xf>
    <xf numFmtId="164" fontId="22" fillId="7" borderId="39" xfId="2" applyFont="1" applyFill="1" applyBorder="1" applyAlignment="1" applyProtection="1">
      <alignment horizontal="center"/>
      <protection locked="0"/>
    </xf>
    <xf numFmtId="164" fontId="22" fillId="6" borderId="37" xfId="2" applyFont="1" applyFill="1" applyBorder="1" applyAlignment="1" applyProtection="1">
      <alignment horizontal="center"/>
      <protection locked="0"/>
    </xf>
    <xf numFmtId="164" fontId="23" fillId="0" borderId="40" xfId="2" applyFont="1" applyBorder="1" applyAlignment="1" applyProtection="1">
      <alignment horizontal="center"/>
      <protection locked="0"/>
    </xf>
    <xf numFmtId="164" fontId="23" fillId="0" borderId="41" xfId="2" applyFont="1" applyBorder="1" applyAlignment="1" applyProtection="1">
      <alignment horizontal="center"/>
      <protection locked="0"/>
    </xf>
    <xf numFmtId="164" fontId="22" fillId="6" borderId="42" xfId="2" applyFont="1" applyFill="1" applyBorder="1" applyAlignment="1" applyProtection="1">
      <alignment horizontal="center"/>
      <protection locked="0"/>
    </xf>
    <xf numFmtId="164" fontId="27" fillId="6" borderId="44" xfId="2" applyFont="1" applyFill="1" applyBorder="1" applyAlignment="1" applyProtection="1">
      <alignment horizontal="center"/>
      <protection locked="0"/>
    </xf>
    <xf numFmtId="164" fontId="22" fillId="6" borderId="38" xfId="2" applyFont="1" applyFill="1" applyBorder="1" applyAlignment="1" applyProtection="1">
      <alignment horizontal="center"/>
      <protection locked="0"/>
    </xf>
    <xf numFmtId="165" fontId="22" fillId="6" borderId="36" xfId="1" applyFont="1" applyFill="1" applyBorder="1" applyAlignment="1" applyProtection="1">
      <alignment horizontal="center"/>
      <protection locked="0"/>
    </xf>
    <xf numFmtId="0" fontId="21" fillId="6" borderId="35" xfId="0" applyFont="1" applyFill="1" applyBorder="1" applyAlignment="1" applyProtection="1">
      <alignment horizontal="center" wrapText="1"/>
      <protection locked="0"/>
    </xf>
    <xf numFmtId="165" fontId="28" fillId="6" borderId="36" xfId="1" applyFont="1" applyFill="1" applyBorder="1" applyAlignment="1" applyProtection="1">
      <alignment horizontal="center"/>
      <protection locked="0"/>
    </xf>
    <xf numFmtId="164" fontId="23" fillId="9" borderId="37" xfId="2" applyFont="1" applyFill="1" applyBorder="1" applyAlignment="1" applyProtection="1">
      <alignment horizontal="center"/>
      <protection locked="0"/>
    </xf>
    <xf numFmtId="0" fontId="21" fillId="6" borderId="45" xfId="0" applyFont="1" applyFill="1" applyBorder="1" applyAlignment="1" applyProtection="1">
      <alignment horizontal="center"/>
      <protection locked="0"/>
    </xf>
    <xf numFmtId="164" fontId="22" fillId="6" borderId="46" xfId="2" applyFont="1" applyFill="1" applyBorder="1" applyAlignment="1" applyProtection="1">
      <alignment horizontal="center"/>
      <protection locked="0"/>
    </xf>
    <xf numFmtId="164" fontId="22" fillId="6" borderId="47" xfId="2" applyFont="1" applyFill="1" applyBorder="1" applyAlignment="1" applyProtection="1">
      <alignment horizontal="center"/>
      <protection locked="0"/>
    </xf>
    <xf numFmtId="164" fontId="23" fillId="6" borderId="50" xfId="2" applyFont="1" applyFill="1" applyBorder="1" applyAlignment="1" applyProtection="1">
      <alignment horizontal="center"/>
      <protection locked="0"/>
    </xf>
    <xf numFmtId="164" fontId="23" fillId="6" borderId="51" xfId="2" applyFont="1" applyFill="1" applyBorder="1" applyAlignment="1" applyProtection="1">
      <alignment horizontal="center"/>
      <protection locked="0"/>
    </xf>
    <xf numFmtId="165" fontId="20" fillId="6" borderId="52" xfId="1" applyFont="1" applyFill="1" applyBorder="1" applyAlignment="1" applyProtection="1">
      <alignment horizontal="center"/>
      <protection locked="0"/>
    </xf>
    <xf numFmtId="164" fontId="31" fillId="6" borderId="52" xfId="0" applyNumberFormat="1" applyFont="1" applyFill="1" applyBorder="1" applyProtection="1">
      <protection locked="0"/>
    </xf>
    <xf numFmtId="164" fontId="20" fillId="0" borderId="52" xfId="2" applyFont="1" applyBorder="1" applyAlignment="1" applyProtection="1">
      <alignment horizontal="center" shrinkToFit="1"/>
      <protection locked="0"/>
    </xf>
    <xf numFmtId="164" fontId="20" fillId="0" borderId="53" xfId="2" applyFont="1" applyBorder="1" applyAlignment="1" applyProtection="1">
      <alignment horizontal="center"/>
      <protection locked="0"/>
    </xf>
    <xf numFmtId="172" fontId="20" fillId="6" borderId="6" xfId="3" applyNumberFormat="1" applyFont="1" applyFill="1" applyBorder="1" applyAlignment="1" applyProtection="1">
      <alignment horizontal="center"/>
      <protection locked="0"/>
    </xf>
    <xf numFmtId="164" fontId="31" fillId="6" borderId="49" xfId="0" applyNumberFormat="1" applyFont="1" applyFill="1" applyBorder="1" applyProtection="1">
      <protection locked="0"/>
    </xf>
    <xf numFmtId="164" fontId="31" fillId="6" borderId="53" xfId="0" applyNumberFormat="1" applyFont="1" applyFill="1" applyBorder="1" applyProtection="1">
      <protection locked="0"/>
    </xf>
    <xf numFmtId="164" fontId="20" fillId="0" borderId="54" xfId="2" applyFont="1" applyBorder="1" applyAlignment="1" applyProtection="1">
      <alignment horizontal="center" shrinkToFit="1"/>
      <protection locked="0"/>
    </xf>
    <xf numFmtId="172" fontId="20" fillId="0" borderId="55" xfId="3" applyNumberFormat="1" applyFont="1" applyBorder="1" applyAlignment="1" applyProtection="1">
      <alignment horizontal="center"/>
      <protection locked="0"/>
    </xf>
    <xf numFmtId="172" fontId="20" fillId="6" borderId="15" xfId="3" applyNumberFormat="1" applyFont="1" applyFill="1" applyBorder="1" applyAlignment="1" applyProtection="1">
      <alignment horizontal="center"/>
      <protection locked="0"/>
    </xf>
    <xf numFmtId="0" fontId="23" fillId="10" borderId="56" xfId="0" applyFont="1" applyFill="1" applyBorder="1" applyAlignment="1" applyProtection="1">
      <alignment horizontal="center" vertical="center"/>
      <protection locked="0"/>
    </xf>
    <xf numFmtId="0" fontId="23" fillId="10" borderId="21" xfId="0" applyFont="1" applyFill="1" applyBorder="1" applyAlignment="1" applyProtection="1">
      <alignment horizontal="center" vertical="center"/>
      <protection locked="0"/>
    </xf>
    <xf numFmtId="0" fontId="20" fillId="10" borderId="22" xfId="3" applyNumberFormat="1" applyFont="1" applyFill="1" applyBorder="1" applyAlignment="1" applyProtection="1">
      <alignment horizontal="center"/>
      <protection locked="0"/>
    </xf>
    <xf numFmtId="164" fontId="31" fillId="10" borderId="22" xfId="0" applyNumberFormat="1" applyFont="1" applyFill="1" applyBorder="1" applyProtection="1">
      <protection locked="0"/>
    </xf>
    <xf numFmtId="164" fontId="20" fillId="10" borderId="22" xfId="2" applyFont="1" applyFill="1" applyBorder="1" applyAlignment="1" applyProtection="1">
      <alignment horizontal="center"/>
      <protection locked="0"/>
    </xf>
    <xf numFmtId="164" fontId="20" fillId="10" borderId="57" xfId="2" applyFont="1" applyFill="1" applyBorder="1" applyAlignment="1" applyProtection="1">
      <alignment horizontal="center"/>
      <protection locked="0"/>
    </xf>
    <xf numFmtId="172" fontId="20" fillId="10" borderId="38" xfId="3" applyNumberFormat="1" applyFont="1" applyFill="1" applyBorder="1" applyAlignment="1" applyProtection="1">
      <alignment horizontal="center"/>
      <protection locked="0"/>
    </xf>
    <xf numFmtId="164" fontId="30" fillId="10" borderId="0" xfId="2" applyFont="1" applyFill="1" applyBorder="1" applyAlignment="1" applyProtection="1">
      <alignment horizontal="center"/>
      <protection locked="0"/>
    </xf>
    <xf numFmtId="164" fontId="31" fillId="10" borderId="57" xfId="0" applyNumberFormat="1" applyFont="1" applyFill="1" applyBorder="1" applyProtection="1">
      <protection locked="0"/>
    </xf>
    <xf numFmtId="164" fontId="30" fillId="10" borderId="58" xfId="2" applyFont="1" applyFill="1" applyBorder="1" applyAlignment="1" applyProtection="1">
      <alignment horizontal="center"/>
      <protection locked="0"/>
    </xf>
    <xf numFmtId="164" fontId="20" fillId="10" borderId="59" xfId="2" applyFont="1" applyFill="1" applyBorder="1" applyAlignment="1" applyProtection="1">
      <alignment horizontal="center"/>
      <protection locked="0"/>
    </xf>
    <xf numFmtId="172" fontId="20" fillId="10" borderId="42" xfId="3" applyNumberFormat="1" applyFont="1" applyFill="1" applyBorder="1" applyAlignment="1" applyProtection="1">
      <alignment horizontal="center"/>
      <protection locked="0"/>
    </xf>
    <xf numFmtId="0" fontId="21" fillId="11" borderId="22" xfId="0" applyFont="1" applyFill="1" applyBorder="1" applyAlignment="1" applyProtection="1">
      <alignment horizontal="center" vertical="center"/>
      <protection locked="0"/>
    </xf>
    <xf numFmtId="165" fontId="22" fillId="11" borderId="22" xfId="1" applyFont="1" applyFill="1" applyBorder="1" applyAlignment="1" applyProtection="1">
      <alignment horizontal="center" vertical="center"/>
      <protection locked="0"/>
    </xf>
    <xf numFmtId="164" fontId="22" fillId="11" borderId="22" xfId="2" applyFont="1" applyFill="1" applyBorder="1" applyAlignment="1" applyProtection="1">
      <alignment horizontal="center" vertical="center"/>
      <protection locked="0"/>
    </xf>
    <xf numFmtId="164" fontId="23" fillId="0" borderId="60" xfId="2" applyFont="1" applyBorder="1" applyAlignment="1" applyProtection="1">
      <alignment horizontal="center" vertical="center"/>
      <protection locked="0"/>
    </xf>
    <xf numFmtId="164" fontId="23" fillId="0" borderId="61" xfId="2" applyFont="1" applyBorder="1" applyAlignment="1" applyProtection="1">
      <alignment horizontal="center" vertical="center"/>
      <protection locked="0"/>
    </xf>
    <xf numFmtId="164" fontId="22" fillId="11" borderId="34" xfId="2" applyFont="1" applyFill="1" applyBorder="1" applyAlignment="1" applyProtection="1">
      <alignment horizontal="center" vertical="center"/>
      <protection locked="0"/>
    </xf>
    <xf numFmtId="164" fontId="22" fillId="11" borderId="57" xfId="2" applyFont="1" applyFill="1" applyBorder="1" applyAlignment="1" applyProtection="1">
      <alignment horizontal="center" vertical="center"/>
      <protection locked="0"/>
    </xf>
    <xf numFmtId="164" fontId="23" fillId="0" borderId="58" xfId="2" applyFont="1" applyBorder="1" applyAlignment="1" applyProtection="1">
      <alignment horizontal="center" vertical="center"/>
      <protection locked="0"/>
    </xf>
    <xf numFmtId="164" fontId="23" fillId="0" borderId="62" xfId="2" applyFont="1" applyBorder="1" applyAlignment="1" applyProtection="1">
      <alignment horizontal="center" vertical="center"/>
      <protection locked="0"/>
    </xf>
    <xf numFmtId="0" fontId="21" fillId="11" borderId="64" xfId="0" applyFont="1" applyFill="1" applyBorder="1" applyAlignment="1" applyProtection="1">
      <alignment horizontal="center" vertical="center"/>
      <protection locked="0"/>
    </xf>
    <xf numFmtId="0" fontId="21" fillId="11" borderId="64" xfId="0" applyFont="1" applyFill="1" applyBorder="1" applyAlignment="1" applyProtection="1">
      <alignment horizontal="center"/>
      <protection locked="0"/>
    </xf>
    <xf numFmtId="165" fontId="22" fillId="11" borderId="64" xfId="1" applyFont="1" applyFill="1" applyBorder="1" applyAlignment="1" applyProtection="1">
      <alignment horizontal="center" vertical="center"/>
      <protection locked="0"/>
    </xf>
    <xf numFmtId="164" fontId="22" fillId="11" borderId="64" xfId="2" applyFont="1" applyFill="1" applyBorder="1" applyAlignment="1" applyProtection="1">
      <alignment horizontal="center" vertical="center"/>
      <protection locked="0"/>
    </xf>
    <xf numFmtId="164" fontId="20" fillId="12" borderId="60" xfId="2" applyFont="1" applyFill="1" applyBorder="1" applyAlignment="1" applyProtection="1">
      <alignment horizontal="center"/>
      <protection locked="0"/>
    </xf>
    <xf numFmtId="164" fontId="23" fillId="0" borderId="61" xfId="2" applyFont="1" applyBorder="1" applyAlignment="1" applyProtection="1">
      <alignment horizontal="center"/>
      <protection locked="0"/>
    </xf>
    <xf numFmtId="164" fontId="22" fillId="11" borderId="63" xfId="2" applyFont="1" applyFill="1" applyBorder="1" applyAlignment="1" applyProtection="1">
      <alignment horizontal="center" vertical="center"/>
      <protection locked="0"/>
    </xf>
    <xf numFmtId="164" fontId="22" fillId="11" borderId="65" xfId="2" applyFont="1" applyFill="1" applyBorder="1" applyAlignment="1" applyProtection="1">
      <alignment horizontal="center" vertical="center"/>
      <protection locked="0"/>
    </xf>
    <xf numFmtId="164" fontId="30" fillId="0" borderId="58" xfId="2" applyFont="1" applyBorder="1" applyAlignment="1" applyProtection="1">
      <alignment horizontal="center"/>
      <protection locked="0"/>
    </xf>
    <xf numFmtId="164" fontId="23" fillId="0" borderId="59" xfId="2" applyFont="1" applyBorder="1" applyAlignment="1" applyProtection="1">
      <alignment horizontal="center"/>
      <protection locked="0"/>
    </xf>
    <xf numFmtId="165" fontId="20" fillId="11" borderId="52" xfId="3" applyNumberFormat="1" applyFont="1" applyFill="1" applyBorder="1" applyAlignment="1" applyProtection="1">
      <alignment horizontal="center"/>
      <protection locked="0"/>
    </xf>
    <xf numFmtId="164" fontId="31" fillId="11" borderId="52" xfId="0" applyNumberFormat="1" applyFont="1" applyFill="1" applyBorder="1" applyProtection="1">
      <protection locked="0"/>
    </xf>
    <xf numFmtId="164" fontId="20" fillId="0" borderId="50" xfId="2" applyFont="1" applyBorder="1" applyAlignment="1" applyProtection="1">
      <alignment horizontal="center"/>
      <protection locked="0"/>
    </xf>
    <xf numFmtId="164" fontId="20" fillId="0" borderId="66" xfId="2" applyFont="1" applyBorder="1" applyAlignment="1" applyProtection="1">
      <alignment horizontal="center"/>
      <protection locked="0"/>
    </xf>
    <xf numFmtId="172" fontId="20" fillId="11" borderId="67" xfId="3" applyNumberFormat="1" applyFont="1" applyFill="1" applyBorder="1" applyAlignment="1" applyProtection="1">
      <alignment horizontal="center"/>
      <protection locked="0"/>
    </xf>
    <xf numFmtId="164" fontId="31" fillId="11" borderId="49" xfId="0" applyNumberFormat="1" applyFont="1" applyFill="1" applyBorder="1" applyProtection="1">
      <protection locked="0"/>
    </xf>
    <xf numFmtId="164" fontId="31" fillId="11" borderId="53" xfId="0" applyNumberFormat="1" applyFont="1" applyFill="1" applyBorder="1" applyProtection="1">
      <protection locked="0"/>
    </xf>
    <xf numFmtId="164" fontId="20" fillId="0" borderId="54" xfId="2" applyFont="1" applyBorder="1" applyAlignment="1" applyProtection="1">
      <alignment horizontal="center"/>
      <protection locked="0"/>
    </xf>
    <xf numFmtId="164" fontId="20" fillId="0" borderId="55" xfId="2" applyFont="1" applyBorder="1" applyAlignment="1" applyProtection="1">
      <alignment horizontal="center"/>
      <protection locked="0"/>
    </xf>
    <xf numFmtId="172" fontId="20" fillId="11" borderId="15" xfId="3" applyNumberFormat="1" applyFont="1" applyFill="1" applyBorder="1" applyAlignment="1" applyProtection="1">
      <alignment horizontal="center"/>
      <protection locked="0"/>
    </xf>
    <xf numFmtId="164" fontId="20" fillId="10" borderId="60" xfId="2" applyFont="1" applyFill="1" applyBorder="1" applyAlignment="1" applyProtection="1">
      <alignment horizontal="center"/>
      <protection locked="0"/>
    </xf>
    <xf numFmtId="164" fontId="20" fillId="10" borderId="61" xfId="2" applyFont="1" applyFill="1" applyBorder="1" applyAlignment="1" applyProtection="1">
      <alignment horizontal="center"/>
      <protection locked="0"/>
    </xf>
    <xf numFmtId="165" fontId="20" fillId="6" borderId="14" xfId="1" applyFont="1" applyFill="1" applyBorder="1" applyAlignment="1" applyProtection="1">
      <alignment horizontal="center"/>
      <protection locked="0"/>
    </xf>
    <xf numFmtId="164" fontId="31" fillId="6" borderId="14" xfId="0" applyNumberFormat="1" applyFont="1" applyFill="1" applyBorder="1" applyProtection="1">
      <protection locked="0"/>
    </xf>
    <xf numFmtId="164" fontId="20" fillId="0" borderId="70" xfId="2" applyFont="1" applyBorder="1" applyAlignment="1" applyProtection="1">
      <alignment horizontal="center"/>
      <protection locked="0"/>
    </xf>
    <xf numFmtId="164" fontId="20" fillId="0" borderId="71" xfId="2" applyFont="1" applyBorder="1" applyAlignment="1" applyProtection="1">
      <alignment horizontal="center"/>
      <protection locked="0"/>
    </xf>
    <xf numFmtId="164" fontId="31" fillId="6" borderId="69" xfId="0" applyNumberFormat="1" applyFont="1" applyFill="1" applyBorder="1" applyProtection="1">
      <protection locked="0"/>
    </xf>
    <xf numFmtId="164" fontId="31" fillId="6" borderId="16" xfId="0" applyNumberFormat="1" applyFont="1" applyFill="1" applyBorder="1" applyProtection="1">
      <protection locked="0"/>
    </xf>
    <xf numFmtId="164" fontId="20" fillId="0" borderId="72" xfId="2" applyFont="1" applyBorder="1" applyAlignment="1" applyProtection="1">
      <alignment horizontal="center" shrinkToFit="1"/>
      <protection locked="0"/>
    </xf>
    <xf numFmtId="164" fontId="20" fillId="0" borderId="73" xfId="2" applyFont="1" applyBorder="1" applyAlignment="1" applyProtection="1">
      <alignment horizontal="center"/>
      <protection locked="0"/>
    </xf>
    <xf numFmtId="0" fontId="23" fillId="10" borderId="74" xfId="0" applyFont="1" applyFill="1" applyBorder="1" applyAlignment="1" applyProtection="1">
      <alignment horizontal="center" vertical="center"/>
      <protection locked="0"/>
    </xf>
    <xf numFmtId="0" fontId="23" fillId="10" borderId="75" xfId="0" applyFont="1" applyFill="1" applyBorder="1" applyAlignment="1" applyProtection="1">
      <alignment horizontal="center" vertical="center"/>
      <protection locked="0"/>
    </xf>
    <xf numFmtId="0" fontId="20" fillId="10" borderId="75" xfId="3" applyNumberFormat="1" applyFont="1" applyFill="1" applyBorder="1" applyAlignment="1" applyProtection="1">
      <alignment horizontal="center"/>
      <protection locked="0"/>
    </xf>
    <xf numFmtId="164" fontId="31" fillId="10" borderId="75" xfId="0" applyNumberFormat="1" applyFont="1" applyFill="1" applyBorder="1" applyProtection="1">
      <protection locked="0"/>
    </xf>
    <xf numFmtId="164" fontId="20" fillId="10" borderId="75" xfId="2" applyFont="1" applyFill="1" applyBorder="1" applyAlignment="1" applyProtection="1">
      <alignment horizontal="center"/>
      <protection locked="0"/>
    </xf>
    <xf numFmtId="164" fontId="20" fillId="10" borderId="76" xfId="2" applyFont="1" applyFill="1" applyBorder="1" applyAlignment="1" applyProtection="1">
      <alignment horizontal="center"/>
      <protection locked="0"/>
    </xf>
    <xf numFmtId="164" fontId="30" fillId="10" borderId="77" xfId="2" applyFont="1" applyFill="1" applyBorder="1" applyAlignment="1" applyProtection="1">
      <alignment horizontal="center"/>
      <protection locked="0"/>
    </xf>
    <xf numFmtId="164" fontId="31" fillId="10" borderId="78" xfId="0" applyNumberFormat="1" applyFont="1" applyFill="1" applyBorder="1" applyProtection="1">
      <protection locked="0"/>
    </xf>
    <xf numFmtId="164" fontId="20" fillId="10" borderId="79" xfId="2" applyFont="1" applyFill="1" applyBorder="1" applyAlignment="1" applyProtection="1">
      <alignment horizontal="center"/>
      <protection locked="0"/>
    </xf>
    <xf numFmtId="172" fontId="20" fillId="10" borderId="61" xfId="3" applyNumberFormat="1" applyFont="1" applyFill="1" applyBorder="1" applyAlignment="1" applyProtection="1">
      <alignment horizontal="center"/>
      <protection locked="0"/>
    </xf>
    <xf numFmtId="0" fontId="21" fillId="14" borderId="80" xfId="0" applyFont="1" applyFill="1" applyBorder="1" applyAlignment="1" applyProtection="1">
      <alignment horizontal="center" vertical="center" wrapText="1"/>
      <protection locked="0"/>
    </xf>
    <xf numFmtId="10" fontId="23" fillId="14" borderId="80" xfId="3" applyNumberFormat="1" applyFont="1" applyFill="1" applyBorder="1" applyAlignment="1" applyProtection="1">
      <alignment horizontal="center" vertical="center"/>
      <protection locked="0"/>
    </xf>
    <xf numFmtId="164" fontId="32" fillId="14" borderId="80" xfId="0" applyNumberFormat="1" applyFont="1" applyFill="1" applyBorder="1" applyAlignment="1" applyProtection="1">
      <alignment horizontal="center" vertical="center"/>
      <protection locked="0"/>
    </xf>
    <xf numFmtId="164" fontId="23" fillId="0" borderId="81" xfId="2" applyFont="1" applyBorder="1" applyAlignment="1" applyProtection="1">
      <alignment horizontal="center" vertical="center"/>
      <protection locked="0"/>
    </xf>
    <xf numFmtId="164" fontId="23" fillId="0" borderId="82" xfId="2" applyFont="1" applyBorder="1" applyAlignment="1" applyProtection="1">
      <alignment horizontal="center" vertical="center"/>
      <protection locked="0"/>
    </xf>
    <xf numFmtId="164" fontId="32" fillId="14" borderId="29" xfId="0" applyNumberFormat="1" applyFont="1" applyFill="1" applyBorder="1" applyAlignment="1" applyProtection="1">
      <alignment horizontal="center" vertical="center"/>
      <protection locked="0"/>
    </xf>
    <xf numFmtId="164" fontId="32" fillId="14" borderId="83" xfId="0" applyNumberFormat="1" applyFont="1" applyFill="1" applyBorder="1" applyAlignment="1" applyProtection="1">
      <alignment horizontal="center" vertical="center"/>
      <protection locked="0"/>
    </xf>
    <xf numFmtId="164" fontId="32" fillId="14" borderId="84" xfId="0" applyNumberFormat="1" applyFont="1" applyFill="1" applyBorder="1" applyAlignment="1" applyProtection="1">
      <alignment horizontal="center" vertical="center"/>
      <protection locked="0"/>
    </xf>
    <xf numFmtId="164" fontId="23" fillId="0" borderId="85" xfId="2" applyFont="1" applyBorder="1" applyAlignment="1" applyProtection="1">
      <alignment horizontal="center" vertical="center"/>
      <protection locked="0"/>
    </xf>
    <xf numFmtId="164" fontId="23" fillId="0" borderId="86" xfId="2" applyFont="1" applyBorder="1" applyAlignment="1" applyProtection="1">
      <alignment horizontal="center" vertical="center"/>
      <protection locked="0"/>
    </xf>
    <xf numFmtId="164" fontId="32" fillId="14" borderId="7" xfId="0" applyNumberFormat="1" applyFont="1" applyFill="1" applyBorder="1" applyAlignment="1" applyProtection="1">
      <alignment horizontal="center" vertical="center"/>
      <protection locked="0"/>
    </xf>
    <xf numFmtId="0" fontId="21" fillId="14" borderId="64" xfId="0" applyFont="1" applyFill="1" applyBorder="1" applyAlignment="1" applyProtection="1">
      <alignment horizontal="center" vertical="center" wrapText="1"/>
      <protection locked="0"/>
    </xf>
    <xf numFmtId="10" fontId="21" fillId="14" borderId="64" xfId="3" applyNumberFormat="1" applyFont="1" applyFill="1" applyBorder="1" applyAlignment="1" applyProtection="1">
      <alignment horizontal="center" vertical="center"/>
      <protection locked="0"/>
    </xf>
    <xf numFmtId="164" fontId="33" fillId="14" borderId="64" xfId="0" applyNumberFormat="1" applyFont="1" applyFill="1" applyBorder="1" applyAlignment="1" applyProtection="1">
      <alignment horizontal="center" vertical="center"/>
      <protection locked="0"/>
    </xf>
    <xf numFmtId="164" fontId="21" fillId="0" borderId="64" xfId="2" applyFont="1" applyBorder="1" applyAlignment="1" applyProtection="1">
      <alignment horizontal="center" vertical="center"/>
      <protection locked="0"/>
    </xf>
    <xf numFmtId="164" fontId="21" fillId="0" borderId="65" xfId="2" applyFont="1" applyBorder="1" applyAlignment="1" applyProtection="1">
      <alignment horizontal="center" vertical="center"/>
      <protection locked="0"/>
    </xf>
    <xf numFmtId="164" fontId="30" fillId="0" borderId="0" xfId="2" applyFont="1" applyBorder="1" applyAlignment="1" applyProtection="1">
      <alignment horizontal="center" vertical="center"/>
      <protection locked="0"/>
    </xf>
    <xf numFmtId="164" fontId="33" fillId="14" borderId="65" xfId="0" applyNumberFormat="1" applyFont="1" applyFill="1" applyBorder="1" applyAlignment="1" applyProtection="1">
      <alignment horizontal="center" vertical="center"/>
      <protection locked="0"/>
    </xf>
    <xf numFmtId="164" fontId="30" fillId="0" borderId="87" xfId="2" applyFont="1" applyBorder="1" applyAlignment="1" applyProtection="1">
      <alignment horizontal="center" vertical="center"/>
      <protection locked="0"/>
    </xf>
    <xf numFmtId="164" fontId="21" fillId="0" borderId="88" xfId="2" applyFont="1" applyBorder="1" applyAlignment="1" applyProtection="1">
      <alignment horizontal="center" vertical="center"/>
      <protection locked="0"/>
    </xf>
    <xf numFmtId="10" fontId="20" fillId="14" borderId="91" xfId="3" applyNumberFormat="1" applyFont="1" applyFill="1" applyBorder="1" applyAlignment="1" applyProtection="1">
      <alignment horizontal="center"/>
      <protection locked="0"/>
    </xf>
    <xf numFmtId="164" fontId="31" fillId="14" borderId="91" xfId="0" applyNumberFormat="1" applyFont="1" applyFill="1" applyBorder="1" applyProtection="1">
      <protection locked="0"/>
    </xf>
    <xf numFmtId="164" fontId="20" fillId="0" borderId="91" xfId="2" applyFont="1" applyBorder="1" applyAlignment="1" applyProtection="1">
      <alignment horizontal="center"/>
      <protection locked="0"/>
    </xf>
    <xf numFmtId="164" fontId="20" fillId="0" borderId="92" xfId="2" applyFont="1" applyBorder="1" applyAlignment="1" applyProtection="1">
      <alignment horizontal="center"/>
      <protection locked="0"/>
    </xf>
    <xf numFmtId="172" fontId="20" fillId="14" borderId="67" xfId="3" applyNumberFormat="1" applyFont="1" applyFill="1" applyBorder="1" applyAlignment="1" applyProtection="1">
      <alignment horizontal="center"/>
      <protection locked="0"/>
    </xf>
    <xf numFmtId="164" fontId="31" fillId="14" borderId="93" xfId="0" applyNumberFormat="1" applyFont="1" applyFill="1" applyBorder="1" applyProtection="1">
      <protection locked="0"/>
    </xf>
    <xf numFmtId="164" fontId="31" fillId="14" borderId="92" xfId="0" applyNumberFormat="1" applyFont="1" applyFill="1" applyBorder="1" applyProtection="1">
      <protection locked="0"/>
    </xf>
    <xf numFmtId="164" fontId="20" fillId="0" borderId="90" xfId="2" applyFont="1" applyBorder="1" applyAlignment="1" applyProtection="1">
      <alignment horizontal="center"/>
      <protection locked="0"/>
    </xf>
    <xf numFmtId="172" fontId="20" fillId="14" borderId="66" xfId="3" applyNumberFormat="1" applyFont="1" applyFill="1" applyBorder="1" applyAlignment="1" applyProtection="1">
      <alignment horizontal="center"/>
      <protection locked="0"/>
    </xf>
    <xf numFmtId="164" fontId="20" fillId="10" borderId="78" xfId="2" applyFont="1" applyFill="1" applyBorder="1" applyAlignment="1" applyProtection="1">
      <alignment horizontal="center"/>
      <protection locked="0"/>
    </xf>
    <xf numFmtId="164" fontId="20" fillId="10" borderId="38" xfId="2" applyFont="1" applyFill="1" applyBorder="1" applyAlignment="1" applyProtection="1">
      <alignment horizontal="center"/>
      <protection locked="0"/>
    </xf>
    <xf numFmtId="164" fontId="30" fillId="10" borderId="94" xfId="2" applyFont="1" applyFill="1" applyBorder="1" applyAlignment="1" applyProtection="1">
      <alignment horizontal="center"/>
      <protection locked="0"/>
    </xf>
    <xf numFmtId="164" fontId="30" fillId="10" borderId="74" xfId="2" applyFont="1" applyFill="1" applyBorder="1" applyAlignment="1" applyProtection="1">
      <alignment horizontal="center"/>
      <protection locked="0"/>
    </xf>
    <xf numFmtId="0" fontId="21" fillId="15" borderId="95" xfId="0" applyFont="1" applyFill="1" applyBorder="1" applyAlignment="1" applyProtection="1">
      <alignment horizontal="center"/>
      <protection locked="0"/>
    </xf>
    <xf numFmtId="10" fontId="23" fillId="15" borderId="95" xfId="3" applyNumberFormat="1" applyFont="1" applyFill="1" applyBorder="1" applyAlignment="1" applyProtection="1">
      <alignment horizontal="center"/>
      <protection locked="0"/>
    </xf>
    <xf numFmtId="164" fontId="32" fillId="15" borderId="95" xfId="0" applyNumberFormat="1" applyFont="1" applyFill="1" applyBorder="1" applyAlignment="1" applyProtection="1">
      <alignment horizontal="center" vertical="center"/>
      <protection locked="0"/>
    </xf>
    <xf numFmtId="164" fontId="23" fillId="0" borderId="95" xfId="2" applyFont="1" applyBorder="1" applyAlignment="1" applyProtection="1">
      <alignment horizontal="center" vertical="center"/>
      <protection locked="0"/>
    </xf>
    <xf numFmtId="164" fontId="23" fillId="0" borderId="96" xfId="2" applyFont="1" applyBorder="1" applyAlignment="1" applyProtection="1">
      <alignment horizontal="center" vertical="center"/>
      <protection locked="0"/>
    </xf>
    <xf numFmtId="164" fontId="32" fillId="15" borderId="29" xfId="0" applyNumberFormat="1" applyFont="1" applyFill="1" applyBorder="1" applyProtection="1">
      <protection locked="0"/>
    </xf>
    <xf numFmtId="164" fontId="32" fillId="15" borderId="97" xfId="0" applyNumberFormat="1" applyFont="1" applyFill="1" applyBorder="1" applyAlignment="1" applyProtection="1">
      <alignment horizontal="center" vertical="center"/>
      <protection locked="0"/>
    </xf>
    <xf numFmtId="164" fontId="32" fillId="15" borderId="96" xfId="0" applyNumberFormat="1" applyFont="1" applyFill="1" applyBorder="1" applyAlignment="1" applyProtection="1">
      <alignment horizontal="center" vertical="center"/>
      <protection locked="0"/>
    </xf>
    <xf numFmtId="164" fontId="32" fillId="15" borderId="98" xfId="0" applyNumberFormat="1" applyFont="1" applyFill="1" applyBorder="1" applyProtection="1">
      <protection locked="0"/>
    </xf>
    <xf numFmtId="0" fontId="21" fillId="15" borderId="100" xfId="0" applyFont="1" applyFill="1" applyBorder="1" applyAlignment="1" applyProtection="1">
      <alignment horizontal="center"/>
      <protection locked="0"/>
    </xf>
    <xf numFmtId="10" fontId="23" fillId="15" borderId="100" xfId="3" applyNumberFormat="1" applyFont="1" applyFill="1" applyBorder="1" applyAlignment="1" applyProtection="1">
      <alignment horizontal="center"/>
      <protection locked="0"/>
    </xf>
    <xf numFmtId="164" fontId="32" fillId="15" borderId="100" xfId="0" applyNumberFormat="1" applyFont="1" applyFill="1" applyBorder="1" applyAlignment="1" applyProtection="1">
      <alignment horizontal="center" vertical="center"/>
      <protection locked="0"/>
    </xf>
    <xf numFmtId="164" fontId="23" fillId="0" borderId="100" xfId="2" applyFont="1" applyBorder="1" applyAlignment="1" applyProtection="1">
      <alignment horizontal="center" vertical="center"/>
      <protection locked="0"/>
    </xf>
    <xf numFmtId="164" fontId="23" fillId="0" borderId="101" xfId="2" applyFont="1" applyBorder="1" applyAlignment="1" applyProtection="1">
      <alignment horizontal="center" vertical="center"/>
      <protection locked="0"/>
    </xf>
    <xf numFmtId="164" fontId="32" fillId="15" borderId="46" xfId="0" applyNumberFormat="1" applyFont="1" applyFill="1" applyBorder="1" applyProtection="1">
      <protection locked="0"/>
    </xf>
    <xf numFmtId="164" fontId="23" fillId="0" borderId="99" xfId="2" applyFont="1" applyBorder="1" applyAlignment="1" applyProtection="1">
      <alignment horizontal="center" vertical="center"/>
      <protection locked="0"/>
    </xf>
    <xf numFmtId="164" fontId="23" fillId="0" borderId="103" xfId="2" applyFont="1" applyBorder="1" applyAlignment="1" applyProtection="1">
      <alignment horizontal="center" vertical="center"/>
      <protection locked="0"/>
    </xf>
    <xf numFmtId="164" fontId="32" fillId="15" borderId="47" xfId="0" applyNumberFormat="1" applyFont="1" applyFill="1" applyBorder="1" applyProtection="1">
      <protection locked="0"/>
    </xf>
    <xf numFmtId="10" fontId="20" fillId="15" borderId="105" xfId="3" applyNumberFormat="1" applyFont="1" applyFill="1" applyBorder="1" applyAlignment="1" applyProtection="1">
      <alignment horizontal="center"/>
      <protection locked="0"/>
    </xf>
    <xf numFmtId="164" fontId="31" fillId="15" borderId="105" xfId="0" applyNumberFormat="1" applyFont="1" applyFill="1" applyBorder="1" applyProtection="1">
      <protection locked="0"/>
    </xf>
    <xf numFmtId="164" fontId="20" fillId="0" borderId="105" xfId="2" applyFont="1" applyBorder="1" applyAlignment="1" applyProtection="1">
      <alignment horizontal="center"/>
      <protection locked="0"/>
    </xf>
    <xf numFmtId="164" fontId="20" fillId="0" borderId="106" xfId="2" applyFont="1" applyBorder="1" applyAlignment="1" applyProtection="1">
      <alignment horizontal="center"/>
      <protection locked="0"/>
    </xf>
    <xf numFmtId="172" fontId="20" fillId="15" borderId="6" xfId="3" applyNumberFormat="1" applyFont="1" applyFill="1" applyBorder="1" applyAlignment="1" applyProtection="1">
      <alignment horizontal="center" shrinkToFit="1"/>
      <protection locked="0"/>
    </xf>
    <xf numFmtId="164" fontId="20" fillId="0" borderId="104" xfId="2" applyFont="1" applyBorder="1" applyAlignment="1" applyProtection="1">
      <alignment horizontal="center"/>
      <protection locked="0"/>
    </xf>
    <xf numFmtId="172" fontId="20" fillId="15" borderId="71" xfId="3" applyNumberFormat="1" applyFont="1" applyFill="1" applyBorder="1" applyAlignment="1" applyProtection="1">
      <alignment horizontal="center" shrinkToFit="1"/>
      <protection locked="0"/>
    </xf>
    <xf numFmtId="164" fontId="30" fillId="10" borderId="56" xfId="2" applyFont="1" applyFill="1" applyBorder="1" applyAlignment="1" applyProtection="1">
      <alignment horizontal="center"/>
      <protection locked="0"/>
    </xf>
    <xf numFmtId="0" fontId="21" fillId="16" borderId="107" xfId="0" applyFont="1" applyFill="1" applyBorder="1" applyAlignment="1" applyProtection="1">
      <alignment horizontal="center"/>
      <protection locked="0"/>
    </xf>
    <xf numFmtId="0" fontId="21" fillId="16" borderId="108" xfId="0" applyFont="1" applyFill="1" applyBorder="1" applyAlignment="1" applyProtection="1">
      <alignment horizontal="center"/>
      <protection locked="0"/>
    </xf>
    <xf numFmtId="10" fontId="23" fillId="16" borderId="108" xfId="3" applyNumberFormat="1" applyFont="1" applyFill="1" applyBorder="1" applyAlignment="1" applyProtection="1">
      <alignment horizontal="center"/>
      <protection locked="0"/>
    </xf>
    <xf numFmtId="164" fontId="32" fillId="16" borderId="108" xfId="0" applyNumberFormat="1" applyFont="1" applyFill="1" applyBorder="1" applyAlignment="1" applyProtection="1">
      <alignment horizontal="center" vertical="center"/>
      <protection locked="0"/>
    </xf>
    <xf numFmtId="164" fontId="23" fillId="16" borderId="108" xfId="2" applyFont="1" applyFill="1" applyBorder="1" applyAlignment="1" applyProtection="1">
      <alignment horizontal="center" vertical="center"/>
      <protection locked="0"/>
    </xf>
    <xf numFmtId="164" fontId="23" fillId="16" borderId="109" xfId="2" applyFont="1" applyFill="1" applyBorder="1" applyAlignment="1" applyProtection="1">
      <alignment horizontal="center" vertical="center"/>
      <protection locked="0"/>
    </xf>
    <xf numFmtId="164" fontId="32" fillId="16" borderId="110" xfId="0" applyNumberFormat="1" applyFont="1" applyFill="1" applyBorder="1" applyProtection="1">
      <protection locked="0"/>
    </xf>
    <xf numFmtId="164" fontId="32" fillId="16" borderId="111" xfId="0" applyNumberFormat="1" applyFont="1" applyFill="1" applyBorder="1" applyAlignment="1" applyProtection="1">
      <alignment horizontal="center" vertical="center"/>
      <protection locked="0"/>
    </xf>
    <xf numFmtId="164" fontId="32" fillId="16" borderId="109" xfId="0" applyNumberFormat="1" applyFont="1" applyFill="1" applyBorder="1" applyAlignment="1" applyProtection="1">
      <alignment horizontal="center" vertical="center"/>
      <protection locked="0"/>
    </xf>
    <xf numFmtId="164" fontId="23" fillId="16" borderId="112" xfId="2" applyFont="1" applyFill="1" applyBorder="1" applyAlignment="1" applyProtection="1">
      <alignment horizontal="center" vertical="center"/>
      <protection locked="0"/>
    </xf>
    <xf numFmtId="164" fontId="23" fillId="16" borderId="113" xfId="2" applyFont="1" applyFill="1" applyBorder="1" applyAlignment="1" applyProtection="1">
      <alignment horizontal="center" vertical="center"/>
      <protection locked="0"/>
    </xf>
    <xf numFmtId="164" fontId="32" fillId="16" borderId="114" xfId="0" applyNumberFormat="1" applyFont="1" applyFill="1" applyBorder="1" applyProtection="1">
      <protection locked="0"/>
    </xf>
    <xf numFmtId="0" fontId="21" fillId="16" borderId="60" xfId="0" applyFont="1" applyFill="1" applyBorder="1" applyAlignment="1" applyProtection="1">
      <alignment horizontal="center"/>
      <protection locked="0"/>
    </xf>
    <xf numFmtId="0" fontId="21" fillId="16" borderId="75" xfId="0" applyFont="1" applyFill="1" applyBorder="1" applyAlignment="1" applyProtection="1">
      <alignment horizontal="center"/>
      <protection locked="0"/>
    </xf>
    <xf numFmtId="10" fontId="23" fillId="16" borderId="75" xfId="3" applyNumberFormat="1" applyFont="1" applyFill="1" applyBorder="1" applyAlignment="1" applyProtection="1">
      <alignment horizontal="center"/>
      <protection locked="0"/>
    </xf>
    <xf numFmtId="164" fontId="32" fillId="16" borderId="75" xfId="0" applyNumberFormat="1" applyFont="1" applyFill="1" applyBorder="1" applyAlignment="1" applyProtection="1">
      <alignment horizontal="center" vertical="center"/>
      <protection locked="0"/>
    </xf>
    <xf numFmtId="164" fontId="23" fillId="16" borderId="75" xfId="2" applyFont="1" applyFill="1" applyBorder="1" applyAlignment="1" applyProtection="1">
      <alignment horizontal="center" vertical="center"/>
      <protection locked="0"/>
    </xf>
    <xf numFmtId="164" fontId="23" fillId="16" borderId="78" xfId="2" applyFont="1" applyFill="1" applyBorder="1" applyAlignment="1" applyProtection="1">
      <alignment horizontal="center" vertical="center"/>
      <protection locked="0"/>
    </xf>
    <xf numFmtId="164" fontId="32" fillId="16" borderId="38" xfId="0" applyNumberFormat="1" applyFont="1" applyFill="1" applyBorder="1" applyProtection="1">
      <protection locked="0"/>
    </xf>
    <xf numFmtId="164" fontId="32" fillId="16" borderId="94" xfId="0" applyNumberFormat="1" applyFont="1" applyFill="1" applyBorder="1" applyAlignment="1" applyProtection="1">
      <alignment horizontal="center" vertical="center"/>
      <protection locked="0"/>
    </xf>
    <xf numFmtId="164" fontId="32" fillId="16" borderId="78" xfId="0" applyNumberFormat="1" applyFont="1" applyFill="1" applyBorder="1" applyAlignment="1" applyProtection="1">
      <alignment horizontal="center" vertical="center"/>
      <protection locked="0"/>
    </xf>
    <xf numFmtId="164" fontId="23" fillId="16" borderId="74" xfId="2" applyFont="1" applyFill="1" applyBorder="1" applyAlignment="1" applyProtection="1">
      <alignment horizontal="center" vertical="center"/>
      <protection locked="0"/>
    </xf>
    <xf numFmtId="164" fontId="23" fillId="16" borderId="115" xfId="2" applyFont="1" applyFill="1" applyBorder="1" applyAlignment="1" applyProtection="1">
      <alignment horizontal="center" vertical="center"/>
      <protection locked="0"/>
    </xf>
    <xf numFmtId="164" fontId="32" fillId="16" borderId="61" xfId="0" applyNumberFormat="1" applyFont="1" applyFill="1" applyBorder="1" applyProtection="1">
      <protection locked="0"/>
    </xf>
    <xf numFmtId="10" fontId="20" fillId="16" borderId="91" xfId="3" applyNumberFormat="1" applyFont="1" applyFill="1" applyBorder="1" applyAlignment="1" applyProtection="1">
      <alignment horizontal="center"/>
      <protection locked="0"/>
    </xf>
    <xf numFmtId="164" fontId="31" fillId="16" borderId="91" xfId="0" applyNumberFormat="1" applyFont="1" applyFill="1" applyBorder="1" applyProtection="1">
      <protection locked="0"/>
    </xf>
    <xf numFmtId="164" fontId="20" fillId="16" borderId="91" xfId="2" applyFont="1" applyFill="1" applyBorder="1" applyAlignment="1" applyProtection="1">
      <alignment horizontal="center"/>
      <protection locked="0"/>
    </xf>
    <xf numFmtId="164" fontId="20" fillId="16" borderId="92" xfId="2" applyFont="1" applyFill="1" applyBorder="1" applyAlignment="1" applyProtection="1">
      <alignment horizontal="center"/>
      <protection locked="0"/>
    </xf>
    <xf numFmtId="172" fontId="20" fillId="16" borderId="67" xfId="3" applyNumberFormat="1" applyFont="1" applyFill="1" applyBorder="1" applyAlignment="1" applyProtection="1">
      <alignment horizontal="center"/>
      <protection locked="0"/>
    </xf>
    <xf numFmtId="164" fontId="31" fillId="16" borderId="93" xfId="0" applyNumberFormat="1" applyFont="1" applyFill="1" applyBorder="1" applyProtection="1">
      <protection locked="0"/>
    </xf>
    <xf numFmtId="164" fontId="31" fillId="16" borderId="92" xfId="0" applyNumberFormat="1" applyFont="1" applyFill="1" applyBorder="1" applyProtection="1">
      <protection locked="0"/>
    </xf>
    <xf numFmtId="164" fontId="20" fillId="16" borderId="90" xfId="2" applyFont="1" applyFill="1" applyBorder="1" applyAlignment="1" applyProtection="1">
      <alignment horizontal="center"/>
      <protection locked="0"/>
    </xf>
    <xf numFmtId="172" fontId="20" fillId="16" borderId="66" xfId="3" applyNumberFormat="1" applyFont="1" applyFill="1" applyBorder="1" applyAlignment="1" applyProtection="1">
      <alignment horizontal="center"/>
      <protection locked="0"/>
    </xf>
    <xf numFmtId="164" fontId="22" fillId="17" borderId="36" xfId="2" applyFont="1" applyFill="1" applyBorder="1" applyAlignment="1" applyProtection="1">
      <alignment horizontal="center"/>
      <protection locked="0"/>
    </xf>
    <xf numFmtId="164" fontId="20" fillId="0" borderId="40" xfId="2" applyFont="1" applyBorder="1" applyAlignment="1" applyProtection="1">
      <alignment horizontal="center"/>
      <protection locked="0"/>
    </xf>
    <xf numFmtId="164" fontId="20" fillId="0" borderId="36" xfId="2" applyFont="1" applyBorder="1" applyAlignment="1" applyProtection="1">
      <alignment horizontal="center"/>
      <protection locked="0"/>
    </xf>
    <xf numFmtId="164" fontId="34" fillId="17" borderId="117" xfId="2" applyFont="1" applyFill="1" applyBorder="1" applyAlignment="1" applyProtection="1">
      <alignment horizontal="center"/>
      <protection locked="0"/>
    </xf>
    <xf numFmtId="0" fontId="21" fillId="17" borderId="118" xfId="0" applyFont="1" applyFill="1" applyBorder="1" applyAlignment="1" applyProtection="1">
      <alignment horizontal="center"/>
      <protection locked="0"/>
    </xf>
    <xf numFmtId="10" fontId="21" fillId="17" borderId="100" xfId="3" applyNumberFormat="1" applyFont="1" applyFill="1" applyBorder="1" applyAlignment="1" applyProtection="1">
      <alignment horizontal="center"/>
      <protection locked="0"/>
    </xf>
    <xf numFmtId="165" fontId="22" fillId="17" borderId="100" xfId="1" applyFont="1" applyFill="1" applyBorder="1" applyAlignment="1" applyProtection="1">
      <alignment horizontal="center"/>
      <protection locked="0"/>
    </xf>
    <xf numFmtId="164" fontId="22" fillId="17" borderId="100" xfId="2" applyFont="1" applyFill="1" applyBorder="1" applyAlignment="1" applyProtection="1">
      <alignment horizontal="center"/>
      <protection locked="0"/>
    </xf>
    <xf numFmtId="164" fontId="23" fillId="0" borderId="100" xfId="2" applyFont="1" applyBorder="1" applyAlignment="1" applyProtection="1">
      <alignment horizontal="center"/>
      <protection locked="0"/>
    </xf>
    <xf numFmtId="164" fontId="23" fillId="0" borderId="101" xfId="2" applyFont="1" applyBorder="1" applyAlignment="1" applyProtection="1">
      <alignment horizontal="center"/>
      <protection locked="0"/>
    </xf>
    <xf numFmtId="172" fontId="20" fillId="17" borderId="6" xfId="3" applyNumberFormat="1" applyFont="1" applyFill="1" applyBorder="1" applyAlignment="1" applyProtection="1">
      <alignment horizontal="center"/>
      <protection locked="0"/>
    </xf>
    <xf numFmtId="164" fontId="22" fillId="17" borderId="102" xfId="2" applyFont="1" applyFill="1" applyBorder="1" applyAlignment="1" applyProtection="1">
      <alignment horizontal="center"/>
      <protection locked="0"/>
    </xf>
    <xf numFmtId="164" fontId="22" fillId="17" borderId="101" xfId="2" applyFont="1" applyFill="1" applyBorder="1" applyAlignment="1" applyProtection="1">
      <alignment horizontal="center"/>
      <protection locked="0"/>
    </xf>
    <xf numFmtId="172" fontId="20" fillId="17" borderId="71" xfId="3" applyNumberFormat="1" applyFont="1" applyFill="1" applyBorder="1" applyAlignment="1" applyProtection="1">
      <alignment horizontal="center"/>
      <protection locked="0"/>
    </xf>
    <xf numFmtId="0" fontId="23" fillId="17" borderId="119" xfId="0" applyFont="1" applyFill="1" applyBorder="1" applyAlignment="1" applyProtection="1">
      <alignment horizontal="center" vertical="center" wrapText="1"/>
      <protection locked="0"/>
    </xf>
    <xf numFmtId="164" fontId="31" fillId="17" borderId="119" xfId="0" applyNumberFormat="1" applyFont="1" applyFill="1" applyBorder="1" applyProtection="1">
      <protection locked="0"/>
    </xf>
    <xf numFmtId="164" fontId="20" fillId="0" borderId="119" xfId="2" applyFont="1" applyBorder="1" applyAlignment="1" applyProtection="1">
      <alignment horizontal="center"/>
      <protection locked="0"/>
    </xf>
    <xf numFmtId="172" fontId="20" fillId="17" borderId="120" xfId="3" applyNumberFormat="1" applyFont="1" applyFill="1" applyBorder="1" applyAlignment="1" applyProtection="1">
      <alignment horizontal="center"/>
      <protection locked="0"/>
    </xf>
    <xf numFmtId="164" fontId="31" fillId="17" borderId="93" xfId="0" applyNumberFormat="1" applyFont="1" applyFill="1" applyBorder="1" applyProtection="1">
      <protection locked="0"/>
    </xf>
    <xf numFmtId="164" fontId="31" fillId="17" borderId="92" xfId="0" applyNumberFormat="1" applyFont="1" applyFill="1" applyBorder="1" applyProtection="1">
      <protection locked="0"/>
    </xf>
    <xf numFmtId="172" fontId="20" fillId="17" borderId="66" xfId="3" applyNumberFormat="1" applyFont="1" applyFill="1" applyBorder="1" applyAlignment="1" applyProtection="1">
      <alignment horizontal="center"/>
      <protection locked="0"/>
    </xf>
    <xf numFmtId="0" fontId="35" fillId="2" borderId="1" xfId="0" applyFont="1" applyFill="1" applyBorder="1" applyAlignment="1" applyProtection="1">
      <alignment horizontal="center" vertical="center"/>
      <protection locked="0"/>
    </xf>
    <xf numFmtId="0" fontId="36" fillId="2" borderId="2" xfId="0" applyFont="1" applyFill="1" applyBorder="1" applyAlignment="1" applyProtection="1">
      <alignment horizontal="right" vertical="center"/>
      <protection locked="0"/>
    </xf>
    <xf numFmtId="164" fontId="19" fillId="2" borderId="16" xfId="2" applyFont="1" applyFill="1" applyBorder="1" applyAlignment="1" applyProtection="1">
      <alignment horizontal="center" vertical="center"/>
      <protection locked="0"/>
    </xf>
    <xf numFmtId="0" fontId="40" fillId="2" borderId="69" xfId="0" applyFont="1" applyFill="1" applyBorder="1" applyAlignment="1" applyProtection="1">
      <alignment horizontal="center" vertical="center"/>
      <protection locked="0"/>
    </xf>
    <xf numFmtId="0" fontId="41" fillId="2" borderId="69" xfId="0" applyFont="1" applyFill="1" applyBorder="1" applyAlignment="1" applyProtection="1">
      <alignment horizontal="center" vertical="center"/>
      <protection locked="0"/>
    </xf>
    <xf numFmtId="164" fontId="43" fillId="2" borderId="14" xfId="2" applyFont="1" applyFill="1" applyBorder="1" applyAlignment="1" applyProtection="1">
      <alignment horizontal="center" vertical="center"/>
      <protection locked="0"/>
    </xf>
    <xf numFmtId="164" fontId="43" fillId="2" borderId="16" xfId="2" applyFont="1" applyFill="1" applyBorder="1" applyAlignment="1" applyProtection="1">
      <alignment horizontal="center" vertical="center"/>
      <protection locked="0"/>
    </xf>
    <xf numFmtId="0" fontId="41" fillId="2" borderId="13" xfId="0" applyFont="1" applyFill="1" applyBorder="1" applyAlignment="1" applyProtection="1">
      <alignment horizontal="center" vertical="center"/>
      <protection locked="0"/>
    </xf>
    <xf numFmtId="0" fontId="41" fillId="2" borderId="20" xfId="0" applyFont="1" applyFill="1" applyBorder="1" applyAlignment="1" applyProtection="1">
      <alignment horizontal="center" vertical="center"/>
      <protection locked="0"/>
    </xf>
    <xf numFmtId="165" fontId="0" fillId="0" borderId="0" xfId="1" applyFont="1" applyProtection="1">
      <protection locked="0"/>
    </xf>
    <xf numFmtId="164" fontId="44" fillId="0" borderId="0" xfId="0" applyNumberFormat="1" applyFont="1" applyProtection="1">
      <protection locked="0"/>
    </xf>
    <xf numFmtId="164" fontId="45" fillId="0" borderId="0" xfId="0" applyNumberFormat="1" applyFont="1" applyProtection="1">
      <protection locked="0"/>
    </xf>
    <xf numFmtId="0" fontId="0" fillId="0" borderId="56" xfId="0" applyBorder="1" applyProtection="1">
      <protection locked="0"/>
    </xf>
    <xf numFmtId="0" fontId="0" fillId="0" borderId="122" xfId="0" applyBorder="1" applyProtection="1">
      <protection locked="0"/>
    </xf>
    <xf numFmtId="164" fontId="22" fillId="6" borderId="26" xfId="3" applyNumberFormat="1" applyFont="1" applyFill="1" applyBorder="1" applyAlignment="1" applyProtection="1">
      <alignment horizontal="center" vertical="center"/>
      <protection hidden="1"/>
    </xf>
    <xf numFmtId="164" fontId="22" fillId="6" borderId="26" xfId="2" applyFont="1" applyFill="1" applyBorder="1" applyAlignment="1" applyProtection="1">
      <alignment horizontal="center" vertical="center"/>
      <protection locked="0"/>
    </xf>
    <xf numFmtId="173" fontId="0" fillId="0" borderId="0" xfId="0" applyNumberFormat="1"/>
    <xf numFmtId="0" fontId="23" fillId="16" borderId="91" xfId="0" applyFont="1" applyFill="1" applyBorder="1" applyAlignment="1" applyProtection="1">
      <alignment horizontal="center" vertical="center" wrapText="1"/>
      <protection locked="0"/>
    </xf>
    <xf numFmtId="0" fontId="23" fillId="17" borderId="91" xfId="0" applyFont="1" applyFill="1" applyBorder="1" applyAlignment="1" applyProtection="1">
      <alignment horizontal="center" vertical="center" wrapText="1"/>
      <protection locked="0"/>
    </xf>
    <xf numFmtId="0" fontId="23" fillId="14" borderId="91" xfId="0" applyFont="1" applyFill="1" applyBorder="1" applyAlignment="1" applyProtection="1">
      <alignment horizontal="center" vertical="center" wrapText="1"/>
      <protection locked="0"/>
    </xf>
    <xf numFmtId="0" fontId="23" fillId="15" borderId="105" xfId="0" applyFont="1" applyFill="1" applyBorder="1" applyAlignment="1" applyProtection="1">
      <alignment horizontal="center" vertical="center" wrapText="1"/>
      <protection locked="0"/>
    </xf>
    <xf numFmtId="0" fontId="23" fillId="11" borderId="49" xfId="0" applyFont="1" applyFill="1" applyBorder="1" applyAlignment="1" applyProtection="1">
      <alignment horizontal="center" vertical="center"/>
      <protection locked="0"/>
    </xf>
    <xf numFmtId="0" fontId="23" fillId="6" borderId="69" xfId="0" applyFont="1" applyFill="1" applyBorder="1" applyAlignment="1" applyProtection="1">
      <alignment horizontal="center" vertical="center"/>
      <protection locked="0"/>
    </xf>
    <xf numFmtId="174" fontId="21" fillId="6" borderId="26" xfId="1" applyNumberFormat="1" applyFont="1" applyFill="1" applyBorder="1" applyAlignment="1" applyProtection="1">
      <alignment horizontal="center" vertical="center"/>
      <protection hidden="1"/>
    </xf>
    <xf numFmtId="174" fontId="21" fillId="6" borderId="27" xfId="1" applyNumberFormat="1" applyFont="1" applyFill="1" applyBorder="1" applyAlignment="1" applyProtection="1">
      <alignment horizontal="center" vertical="center"/>
      <protection hidden="1"/>
    </xf>
    <xf numFmtId="164" fontId="31" fillId="17" borderId="0" xfId="0" applyNumberFormat="1" applyFont="1" applyFill="1" applyBorder="1" applyProtection="1">
      <protection locked="0"/>
    </xf>
    <xf numFmtId="164" fontId="20" fillId="0" borderId="0" xfId="2" applyFont="1" applyBorder="1" applyAlignment="1" applyProtection="1">
      <alignment horizontal="center"/>
      <protection locked="0"/>
    </xf>
    <xf numFmtId="172" fontId="20" fillId="17" borderId="56" xfId="3" applyNumberFormat="1" applyFont="1" applyFill="1" applyBorder="1" applyAlignment="1" applyProtection="1">
      <alignment horizontal="center"/>
      <protection locked="0"/>
    </xf>
    <xf numFmtId="164" fontId="20" fillId="0" borderId="68" xfId="2" applyFont="1" applyBorder="1" applyAlignment="1" applyProtection="1">
      <alignment horizontal="center"/>
      <protection locked="0"/>
    </xf>
    <xf numFmtId="172" fontId="20" fillId="17" borderId="20" xfId="3" applyNumberFormat="1" applyFont="1" applyFill="1" applyBorder="1" applyAlignment="1" applyProtection="1">
      <alignment horizontal="center"/>
      <protection locked="0"/>
    </xf>
    <xf numFmtId="172" fontId="20" fillId="8" borderId="123" xfId="3" applyNumberFormat="1" applyFont="1" applyFill="1" applyBorder="1" applyAlignment="1" applyProtection="1">
      <alignment horizontal="left" vertical="center"/>
      <protection locked="0"/>
    </xf>
    <xf numFmtId="10" fontId="20" fillId="17" borderId="124" xfId="3" applyNumberFormat="1" applyFont="1" applyFill="1" applyBorder="1" applyAlignment="1" applyProtection="1">
      <alignment horizontal="center"/>
      <protection locked="0"/>
    </xf>
    <xf numFmtId="164" fontId="20" fillId="0" borderId="125" xfId="2" applyFont="1" applyBorder="1" applyAlignment="1" applyProtection="1">
      <alignment horizontal="center"/>
      <protection locked="0"/>
    </xf>
    <xf numFmtId="0" fontId="0" fillId="18" borderId="133" xfId="0" applyFill="1" applyBorder="1" applyAlignment="1">
      <alignment vertical="center"/>
    </xf>
    <xf numFmtId="0" fontId="0" fillId="18" borderId="136" xfId="0" applyFill="1" applyBorder="1" applyAlignment="1">
      <alignment vertical="center"/>
    </xf>
    <xf numFmtId="0" fontId="0" fillId="18" borderId="137" xfId="0" applyFill="1" applyBorder="1" applyAlignment="1">
      <alignment vertical="center"/>
    </xf>
    <xf numFmtId="164" fontId="0" fillId="18" borderId="137" xfId="0" applyNumberFormat="1" applyFill="1" applyBorder="1" applyAlignment="1">
      <alignment vertical="center"/>
    </xf>
    <xf numFmtId="164" fontId="0" fillId="18" borderId="135" xfId="0" applyNumberFormat="1" applyFill="1" applyBorder="1" applyAlignment="1">
      <alignment vertical="center"/>
    </xf>
    <xf numFmtId="0" fontId="0" fillId="19" borderId="126" xfId="0" applyFill="1" applyBorder="1"/>
    <xf numFmtId="0" fontId="0" fillId="19" borderId="136" xfId="0" applyFill="1" applyBorder="1"/>
    <xf numFmtId="0" fontId="0" fillId="19" borderId="137" xfId="0" applyFill="1" applyBorder="1"/>
    <xf numFmtId="0" fontId="0" fillId="19" borderId="135" xfId="0" applyFill="1" applyBorder="1"/>
    <xf numFmtId="164" fontId="31" fillId="18" borderId="137" xfId="0" applyNumberFormat="1" applyFont="1" applyFill="1" applyBorder="1" applyAlignment="1">
      <alignment vertical="center"/>
    </xf>
    <xf numFmtId="0" fontId="0" fillId="20" borderId="0" xfId="0" applyFill="1"/>
    <xf numFmtId="0" fontId="0" fillId="20" borderId="144" xfId="0" applyFill="1" applyBorder="1"/>
    <xf numFmtId="0" fontId="0" fillId="20" borderId="145" xfId="0" applyFill="1" applyBorder="1"/>
    <xf numFmtId="0" fontId="36" fillId="2" borderId="146" xfId="0" applyFont="1" applyFill="1" applyBorder="1" applyAlignment="1" applyProtection="1">
      <alignment horizontal="right" vertical="center"/>
      <protection locked="0"/>
    </xf>
    <xf numFmtId="0" fontId="0" fillId="20" borderId="137" xfId="0" applyFill="1" applyBorder="1"/>
    <xf numFmtId="165" fontId="37" fillId="2" borderId="147" xfId="1" applyFont="1" applyFill="1" applyBorder="1" applyAlignment="1" applyProtection="1">
      <alignment horizontal="center" vertical="center"/>
      <protection locked="0"/>
    </xf>
    <xf numFmtId="164" fontId="19" fillId="2" borderId="148" xfId="2" applyFont="1" applyFill="1" applyBorder="1" applyAlignment="1" applyProtection="1">
      <alignment horizontal="center" vertical="center"/>
      <protection locked="0"/>
    </xf>
    <xf numFmtId="172" fontId="39" fillId="2" borderId="56" xfId="3" applyNumberFormat="1" applyFont="1" applyFill="1" applyBorder="1" applyAlignment="1" applyProtection="1">
      <alignment horizontal="center" vertical="center"/>
      <protection locked="0"/>
    </xf>
    <xf numFmtId="0" fontId="41" fillId="2" borderId="149" xfId="0" applyFont="1" applyFill="1" applyBorder="1" applyAlignment="1" applyProtection="1">
      <alignment horizontal="center" vertical="center"/>
      <protection locked="0"/>
    </xf>
    <xf numFmtId="164" fontId="19" fillId="2" borderId="150" xfId="2" applyFont="1" applyFill="1" applyBorder="1" applyAlignment="1" applyProtection="1">
      <alignment horizontal="center" vertical="center"/>
      <protection locked="0"/>
    </xf>
    <xf numFmtId="164" fontId="19" fillId="2" borderId="151" xfId="2" applyFont="1" applyFill="1" applyBorder="1" applyAlignment="1" applyProtection="1">
      <alignment horizontal="center" vertical="center"/>
      <protection locked="0"/>
    </xf>
    <xf numFmtId="164" fontId="38" fillId="2" borderId="22" xfId="2" applyFont="1" applyFill="1" applyBorder="1" applyAlignment="1" applyProtection="1">
      <alignment horizontal="center" vertical="center"/>
      <protection locked="0"/>
    </xf>
    <xf numFmtId="164" fontId="42" fillId="2" borderId="149" xfId="2" applyFont="1" applyFill="1" applyBorder="1" applyAlignment="1" applyProtection="1">
      <alignment horizontal="center" vertical="center"/>
      <protection locked="0"/>
    </xf>
    <xf numFmtId="164" fontId="38" fillId="2" borderId="151" xfId="2" applyFont="1" applyFill="1" applyBorder="1" applyAlignment="1" applyProtection="1">
      <alignment horizontal="center" vertical="center"/>
      <protection locked="0"/>
    </xf>
    <xf numFmtId="164" fontId="31" fillId="19" borderId="138" xfId="0" applyNumberFormat="1" applyFont="1" applyFill="1" applyBorder="1" applyAlignment="1">
      <alignment vertical="center"/>
    </xf>
    <xf numFmtId="164" fontId="31" fillId="20" borderId="134" xfId="0" applyNumberFormat="1" applyFont="1" applyFill="1" applyBorder="1"/>
    <xf numFmtId="172" fontId="20" fillId="19" borderId="56" xfId="3" applyNumberFormat="1" applyFont="1" applyFill="1" applyBorder="1" applyAlignment="1" applyProtection="1">
      <alignment horizontal="center"/>
      <protection locked="0"/>
    </xf>
    <xf numFmtId="164" fontId="31" fillId="19" borderId="4" xfId="0" applyNumberFormat="1" applyFont="1" applyFill="1" applyBorder="1" applyProtection="1">
      <protection locked="0"/>
    </xf>
    <xf numFmtId="172" fontId="20" fillId="20" borderId="56" xfId="3" applyNumberFormat="1" applyFont="1" applyFill="1" applyBorder="1" applyAlignment="1" applyProtection="1">
      <alignment horizontal="center"/>
      <protection locked="0"/>
    </xf>
    <xf numFmtId="0" fontId="21" fillId="17" borderId="153" xfId="0" applyFont="1" applyFill="1" applyBorder="1" applyAlignment="1" applyProtection="1">
      <alignment horizontal="center"/>
      <protection locked="0"/>
    </xf>
    <xf numFmtId="0" fontId="30" fillId="16" borderId="56" xfId="0" applyFont="1" applyFill="1" applyBorder="1" applyAlignment="1" applyProtection="1">
      <alignment horizontal="center" textRotation="45" wrapText="1"/>
      <protection locked="0"/>
    </xf>
    <xf numFmtId="165" fontId="22" fillId="17" borderId="155" xfId="1" applyFont="1" applyFill="1" applyBorder="1" applyAlignment="1" applyProtection="1">
      <alignment horizontal="center"/>
      <protection locked="0"/>
    </xf>
    <xf numFmtId="164" fontId="31" fillId="16" borderId="119" xfId="0" applyNumberFormat="1" applyFont="1" applyFill="1" applyBorder="1" applyProtection="1">
      <protection locked="0"/>
    </xf>
    <xf numFmtId="0" fontId="20" fillId="10" borderId="156" xfId="3" applyNumberFormat="1" applyFont="1" applyFill="1" applyBorder="1" applyAlignment="1" applyProtection="1">
      <alignment horizontal="center"/>
      <protection locked="0"/>
    </xf>
    <xf numFmtId="164" fontId="22" fillId="17" borderId="155" xfId="2" applyFont="1" applyFill="1" applyBorder="1" applyAlignment="1" applyProtection="1">
      <alignment horizontal="center"/>
      <protection locked="0"/>
    </xf>
    <xf numFmtId="164" fontId="34" fillId="17" borderId="155" xfId="2" applyFont="1" applyFill="1" applyBorder="1" applyAlignment="1" applyProtection="1">
      <alignment horizontal="center"/>
      <protection locked="0"/>
    </xf>
    <xf numFmtId="164" fontId="23" fillId="0" borderId="155" xfId="2" applyFont="1" applyBorder="1" applyAlignment="1" applyProtection="1">
      <alignment horizontal="center"/>
      <protection locked="0"/>
    </xf>
    <xf numFmtId="164" fontId="23" fillId="0" borderId="157" xfId="2" applyFont="1" applyBorder="1" applyAlignment="1" applyProtection="1">
      <alignment horizontal="center"/>
      <protection locked="0"/>
    </xf>
    <xf numFmtId="164" fontId="34" fillId="17" borderId="158" xfId="2" applyFont="1" applyFill="1" applyBorder="1" applyAlignment="1" applyProtection="1">
      <alignment horizontal="center"/>
      <protection locked="0"/>
    </xf>
    <xf numFmtId="164" fontId="22" fillId="17" borderId="159" xfId="2" applyFont="1" applyFill="1" applyBorder="1" applyAlignment="1" applyProtection="1">
      <alignment horizontal="center"/>
      <protection locked="0"/>
    </xf>
    <xf numFmtId="164" fontId="34" fillId="17" borderId="157" xfId="2" applyFont="1" applyFill="1" applyBorder="1" applyAlignment="1" applyProtection="1">
      <alignment horizontal="center"/>
      <protection locked="0"/>
    </xf>
    <xf numFmtId="164" fontId="20" fillId="0" borderId="160" xfId="2" applyFont="1" applyBorder="1" applyAlignment="1" applyProtection="1">
      <alignment horizontal="center"/>
      <protection locked="0"/>
    </xf>
    <xf numFmtId="164" fontId="23" fillId="0" borderId="161" xfId="2" applyFont="1" applyBorder="1" applyAlignment="1" applyProtection="1">
      <alignment horizontal="center" vertical="center"/>
      <protection locked="0"/>
    </xf>
    <xf numFmtId="164" fontId="30" fillId="10" borderId="162" xfId="2" applyFont="1" applyFill="1" applyBorder="1" applyAlignment="1" applyProtection="1">
      <alignment horizontal="center"/>
      <protection locked="0"/>
    </xf>
    <xf numFmtId="164" fontId="23" fillId="0" borderId="159" xfId="2" applyFont="1" applyBorder="1" applyAlignment="1" applyProtection="1">
      <alignment horizontal="center" vertical="center"/>
      <protection locked="0"/>
    </xf>
    <xf numFmtId="10" fontId="21" fillId="17" borderId="155" xfId="3" quotePrefix="1" applyNumberFormat="1" applyFont="1" applyFill="1" applyBorder="1" applyAlignment="1" applyProtection="1">
      <alignment horizontal="center"/>
      <protection locked="0"/>
    </xf>
    <xf numFmtId="172" fontId="20" fillId="18" borderId="163" xfId="3" applyNumberFormat="1" applyFont="1" applyFill="1" applyBorder="1" applyAlignment="1" applyProtection="1">
      <alignment horizontal="center"/>
      <protection locked="0"/>
    </xf>
    <xf numFmtId="172" fontId="20" fillId="18" borderId="164" xfId="3" applyNumberFormat="1" applyFont="1" applyFill="1" applyBorder="1" applyAlignment="1" applyProtection="1">
      <alignment horizontal="center"/>
      <protection locked="0"/>
    </xf>
    <xf numFmtId="164" fontId="20" fillId="0" borderId="56" xfId="2" applyFont="1" applyBorder="1" applyAlignment="1" applyProtection="1">
      <alignment horizontal="center"/>
      <protection locked="0"/>
    </xf>
    <xf numFmtId="164" fontId="20" fillId="0" borderId="166" xfId="2" applyFont="1" applyBorder="1" applyAlignment="1" applyProtection="1">
      <alignment horizontal="center"/>
      <protection locked="0"/>
    </xf>
    <xf numFmtId="164" fontId="20" fillId="0" borderId="126" xfId="2" applyFont="1" applyBorder="1" applyAlignment="1" applyProtection="1">
      <alignment horizontal="center"/>
      <protection locked="0"/>
    </xf>
    <xf numFmtId="172" fontId="20" fillId="17" borderId="122" xfId="3" applyNumberFormat="1" applyFont="1" applyFill="1" applyBorder="1" applyAlignment="1" applyProtection="1">
      <alignment horizontal="center"/>
      <protection locked="0"/>
    </xf>
    <xf numFmtId="164" fontId="31" fillId="19" borderId="0" xfId="0" applyNumberFormat="1" applyFont="1" applyFill="1" applyBorder="1" applyProtection="1">
      <protection locked="0"/>
    </xf>
    <xf numFmtId="164" fontId="31" fillId="19" borderId="165" xfId="0" applyNumberFormat="1" applyFont="1" applyFill="1" applyBorder="1" applyProtection="1">
      <protection locked="0"/>
    </xf>
    <xf numFmtId="172" fontId="20" fillId="20" borderId="163" xfId="3" applyNumberFormat="1" applyFont="1" applyFill="1" applyBorder="1" applyAlignment="1" applyProtection="1">
      <alignment horizontal="center"/>
      <protection locked="0"/>
    </xf>
    <xf numFmtId="164" fontId="31" fillId="20" borderId="0" xfId="0" applyNumberFormat="1" applyFont="1" applyFill="1" applyBorder="1" applyProtection="1">
      <protection locked="0"/>
    </xf>
    <xf numFmtId="164" fontId="20" fillId="0" borderId="116" xfId="2" applyFont="1" applyBorder="1" applyAlignment="1" applyProtection="1">
      <alignment horizontal="center"/>
      <protection locked="0"/>
    </xf>
    <xf numFmtId="164" fontId="31" fillId="20" borderId="126" xfId="0" applyNumberFormat="1" applyFont="1" applyFill="1" applyBorder="1" applyProtection="1">
      <protection locked="0"/>
    </xf>
    <xf numFmtId="164" fontId="32" fillId="15" borderId="168" xfId="0" applyNumberFormat="1" applyFont="1" applyFill="1" applyBorder="1" applyAlignment="1" applyProtection="1">
      <alignment horizontal="center" vertical="center"/>
      <protection locked="0"/>
    </xf>
    <xf numFmtId="164" fontId="31" fillId="15" borderId="167" xfId="0" applyNumberFormat="1" applyFont="1" applyFill="1" applyBorder="1" applyProtection="1">
      <protection locked="0"/>
    </xf>
    <xf numFmtId="164" fontId="32" fillId="15" borderId="170" xfId="0" applyNumberFormat="1" applyFont="1" applyFill="1" applyBorder="1" applyAlignment="1" applyProtection="1">
      <alignment horizontal="center" vertical="center"/>
      <protection locked="0"/>
    </xf>
    <xf numFmtId="164" fontId="31" fillId="15" borderId="169" xfId="0" applyNumberFormat="1" applyFont="1" applyFill="1" applyBorder="1" applyProtection="1">
      <protection locked="0"/>
    </xf>
    <xf numFmtId="164" fontId="31" fillId="18" borderId="171" xfId="0" applyNumberFormat="1" applyFont="1" applyFill="1" applyBorder="1" applyProtection="1">
      <protection locked="0"/>
    </xf>
    <xf numFmtId="164" fontId="31" fillId="18" borderId="172" xfId="0" applyNumberFormat="1" applyFont="1" applyFill="1" applyBorder="1" applyProtection="1">
      <protection locked="0"/>
    </xf>
    <xf numFmtId="164" fontId="31" fillId="19" borderId="173" xfId="0" applyNumberFormat="1" applyFont="1" applyFill="1" applyBorder="1" applyProtection="1">
      <protection locked="0"/>
    </xf>
    <xf numFmtId="172" fontId="20" fillId="19" borderId="174" xfId="3" applyNumberFormat="1" applyFont="1" applyFill="1" applyBorder="1" applyAlignment="1" applyProtection="1">
      <alignment horizontal="center"/>
      <protection locked="0"/>
    </xf>
    <xf numFmtId="164" fontId="31" fillId="20" borderId="175" xfId="0" applyNumberFormat="1" applyFont="1" applyFill="1" applyBorder="1" applyProtection="1">
      <protection locked="0"/>
    </xf>
    <xf numFmtId="172" fontId="20" fillId="20" borderId="174" xfId="3" applyNumberFormat="1" applyFont="1" applyFill="1" applyBorder="1" applyAlignment="1" applyProtection="1">
      <alignment horizontal="center"/>
      <protection locked="0"/>
    </xf>
    <xf numFmtId="164" fontId="20" fillId="0" borderId="176" xfId="2" applyFont="1" applyBorder="1" applyAlignment="1" applyProtection="1">
      <alignment horizontal="center"/>
      <protection locked="0"/>
    </xf>
    <xf numFmtId="164" fontId="20" fillId="0" borderId="177" xfId="2" applyFont="1" applyBorder="1" applyAlignment="1" applyProtection="1">
      <alignment horizontal="center"/>
      <protection locked="0"/>
    </xf>
    <xf numFmtId="172" fontId="20" fillId="17" borderId="178" xfId="3" applyNumberFormat="1" applyFont="1" applyFill="1" applyBorder="1" applyAlignment="1" applyProtection="1">
      <alignment horizontal="center"/>
      <protection locked="0"/>
    </xf>
    <xf numFmtId="164" fontId="20" fillId="0" borderId="179" xfId="2" applyFont="1" applyBorder="1" applyAlignment="1" applyProtection="1">
      <alignment horizontal="center"/>
      <protection locked="0"/>
    </xf>
    <xf numFmtId="164" fontId="19" fillId="2" borderId="180" xfId="2" applyFont="1" applyFill="1" applyBorder="1" applyAlignment="1" applyProtection="1">
      <alignment horizontal="center" vertical="center"/>
      <protection locked="0"/>
    </xf>
    <xf numFmtId="164" fontId="19" fillId="2" borderId="149" xfId="2" applyFont="1" applyFill="1" applyBorder="1" applyAlignment="1" applyProtection="1">
      <alignment horizontal="center" vertical="center"/>
      <protection locked="0"/>
    </xf>
    <xf numFmtId="172" fontId="19" fillId="2" borderId="181" xfId="3" applyNumberFormat="1" applyFont="1" applyFill="1" applyBorder="1" applyAlignment="1" applyProtection="1">
      <alignment horizontal="center" vertical="center"/>
      <protection locked="0"/>
    </xf>
    <xf numFmtId="164" fontId="31" fillId="18" borderId="182" xfId="0" applyNumberFormat="1" applyFont="1" applyFill="1" applyBorder="1" applyProtection="1">
      <protection locked="0"/>
    </xf>
    <xf numFmtId="164" fontId="31" fillId="18" borderId="183" xfId="0" applyNumberFormat="1" applyFont="1" applyFill="1" applyBorder="1" applyProtection="1">
      <protection locked="0"/>
    </xf>
    <xf numFmtId="164" fontId="31" fillId="19" borderId="182" xfId="0" applyNumberFormat="1" applyFont="1" applyFill="1" applyBorder="1" applyProtection="1">
      <protection locked="0"/>
    </xf>
    <xf numFmtId="164" fontId="31" fillId="19" borderId="184" xfId="0" applyNumberFormat="1" applyFont="1" applyFill="1" applyBorder="1" applyProtection="1">
      <protection locked="0"/>
    </xf>
    <xf numFmtId="164" fontId="31" fillId="20" borderId="185" xfId="0" applyNumberFormat="1" applyFont="1" applyFill="1" applyBorder="1" applyProtection="1">
      <protection locked="0"/>
    </xf>
    <xf numFmtId="164" fontId="31" fillId="20" borderId="186" xfId="0" applyNumberFormat="1" applyFont="1" applyFill="1" applyBorder="1" applyProtection="1">
      <protection locked="0"/>
    </xf>
    <xf numFmtId="164" fontId="20" fillId="0" borderId="187" xfId="2" applyFont="1" applyBorder="1" applyAlignment="1" applyProtection="1">
      <alignment horizontal="center"/>
      <protection locked="0"/>
    </xf>
    <xf numFmtId="164" fontId="20" fillId="0" borderId="188" xfId="2" applyFont="1" applyBorder="1" applyAlignment="1" applyProtection="1">
      <alignment horizontal="center"/>
      <protection locked="0"/>
    </xf>
    <xf numFmtId="172" fontId="20" fillId="17" borderId="183" xfId="3" applyNumberFormat="1" applyFont="1" applyFill="1" applyBorder="1" applyAlignment="1" applyProtection="1">
      <alignment horizontal="center"/>
      <protection locked="0"/>
    </xf>
    <xf numFmtId="172" fontId="20" fillId="17" borderId="182" xfId="3" applyNumberFormat="1" applyFont="1" applyFill="1" applyBorder="1" applyAlignment="1" applyProtection="1">
      <alignment horizontal="center"/>
      <protection locked="0"/>
    </xf>
    <xf numFmtId="164" fontId="20" fillId="0" borderId="189" xfId="2" applyFont="1" applyBorder="1" applyAlignment="1" applyProtection="1">
      <alignment horizontal="center"/>
      <protection locked="0"/>
    </xf>
    <xf numFmtId="172" fontId="20" fillId="17" borderId="190" xfId="3" applyNumberFormat="1" applyFont="1" applyFill="1" applyBorder="1" applyAlignment="1" applyProtection="1">
      <alignment horizontal="center"/>
      <protection locked="0"/>
    </xf>
    <xf numFmtId="164" fontId="20" fillId="0" borderId="191" xfId="2" applyFont="1" applyBorder="1" applyAlignment="1" applyProtection="1">
      <alignment horizontal="center"/>
      <protection locked="0"/>
    </xf>
    <xf numFmtId="164" fontId="20" fillId="0" borderId="192" xfId="2" applyFont="1" applyBorder="1" applyAlignment="1" applyProtection="1">
      <alignment horizontal="center"/>
      <protection locked="0"/>
    </xf>
    <xf numFmtId="172" fontId="20" fillId="17" borderId="193" xfId="3" applyNumberFormat="1" applyFont="1" applyFill="1" applyBorder="1" applyAlignment="1" applyProtection="1">
      <alignment horizontal="center"/>
      <protection locked="0"/>
    </xf>
    <xf numFmtId="175" fontId="0" fillId="0" borderId="0" xfId="0" applyNumberFormat="1"/>
    <xf numFmtId="0" fontId="39" fillId="3" borderId="2" xfId="0" applyFont="1" applyFill="1" applyBorder="1" applyAlignment="1" applyProtection="1">
      <alignment horizontal="center" vertical="center"/>
      <protection locked="0"/>
    </xf>
    <xf numFmtId="170" fontId="21" fillId="6" borderId="36" xfId="3" applyNumberFormat="1" applyFont="1" applyFill="1" applyBorder="1" applyAlignment="1" applyProtection="1">
      <alignment horizontal="center"/>
      <protection hidden="1"/>
    </xf>
    <xf numFmtId="170" fontId="21" fillId="6" borderId="36" xfId="3" applyNumberFormat="1" applyFont="1" applyFill="1" applyBorder="1" applyAlignment="1" applyProtection="1">
      <alignment horizontal="center"/>
      <protection locked="0"/>
    </xf>
    <xf numFmtId="170" fontId="21" fillId="6" borderId="36" xfId="3" quotePrefix="1" applyNumberFormat="1" applyFont="1" applyFill="1" applyBorder="1" applyAlignment="1" applyProtection="1">
      <alignment horizontal="center"/>
      <protection locked="0"/>
    </xf>
    <xf numFmtId="164" fontId="0" fillId="0" borderId="0" xfId="2" applyFont="1"/>
    <xf numFmtId="164" fontId="0" fillId="20" borderId="131" xfId="0" applyNumberFormat="1" applyFill="1" applyBorder="1" applyAlignment="1">
      <alignment horizontal="center" vertical="center"/>
    </xf>
    <xf numFmtId="164" fontId="0" fillId="20" borderId="132" xfId="0" applyNumberFormat="1" applyFill="1" applyBorder="1" applyAlignment="1">
      <alignment horizontal="center" vertical="center"/>
    </xf>
    <xf numFmtId="0" fontId="0" fillId="20" borderId="131" xfId="0" applyFill="1" applyBorder="1" applyAlignment="1">
      <alignment horizontal="center" vertical="center"/>
    </xf>
    <xf numFmtId="0" fontId="0" fillId="20" borderId="132" xfId="0" applyFill="1" applyBorder="1" applyAlignment="1">
      <alignment horizontal="center" vertical="center"/>
    </xf>
    <xf numFmtId="0" fontId="0" fillId="20" borderId="139" xfId="0" applyFill="1" applyBorder="1" applyAlignment="1">
      <alignment horizontal="center" vertical="center"/>
    </xf>
    <xf numFmtId="0" fontId="0" fillId="20" borderId="140" xfId="0" applyFill="1" applyBorder="1" applyAlignment="1">
      <alignment horizontal="center" vertical="center"/>
    </xf>
    <xf numFmtId="0" fontId="54" fillId="20" borderId="126" xfId="0" applyFont="1" applyFill="1" applyBorder="1" applyAlignment="1">
      <alignment horizontal="center"/>
    </xf>
    <xf numFmtId="0" fontId="54" fillId="20" borderId="141" xfId="0" applyFont="1" applyFill="1" applyBorder="1" applyAlignment="1">
      <alignment horizontal="center" vertical="center" textRotation="45"/>
    </xf>
    <xf numFmtId="0" fontId="54" fillId="20" borderId="142" xfId="0" applyFont="1" applyFill="1" applyBorder="1" applyAlignment="1">
      <alignment horizontal="center" vertical="center" textRotation="45"/>
    </xf>
    <xf numFmtId="0" fontId="53" fillId="20" borderId="143" xfId="0" applyFont="1" applyFill="1" applyBorder="1" applyAlignment="1">
      <alignment horizontal="center" vertical="center"/>
    </xf>
    <xf numFmtId="0" fontId="53" fillId="20" borderId="152" xfId="0" applyFont="1" applyFill="1" applyBorder="1" applyAlignment="1">
      <alignment horizontal="center" vertical="center"/>
    </xf>
    <xf numFmtId="0" fontId="0" fillId="20" borderId="129" xfId="0" applyFill="1" applyBorder="1" applyAlignment="1">
      <alignment horizontal="center" vertical="center"/>
    </xf>
    <xf numFmtId="0" fontId="0" fillId="20" borderId="130" xfId="0" applyFill="1" applyBorder="1" applyAlignment="1">
      <alignment horizontal="center" vertical="center"/>
    </xf>
    <xf numFmtId="164" fontId="55" fillId="19" borderId="131" xfId="0" applyNumberFormat="1" applyFont="1" applyFill="1" applyBorder="1" applyAlignment="1">
      <alignment horizontal="center" vertical="center"/>
    </xf>
    <xf numFmtId="164" fontId="55" fillId="19" borderId="132" xfId="0" applyNumberFormat="1" applyFont="1" applyFill="1" applyBorder="1" applyAlignment="1">
      <alignment horizontal="center" vertical="center"/>
    </xf>
    <xf numFmtId="0" fontId="0" fillId="19" borderId="131" xfId="0" applyFill="1" applyBorder="1" applyAlignment="1">
      <alignment horizontal="center"/>
    </xf>
    <xf numFmtId="0" fontId="0" fillId="19" borderId="132" xfId="0" applyFill="1" applyBorder="1" applyAlignment="1">
      <alignment horizontal="center"/>
    </xf>
    <xf numFmtId="0" fontId="0" fillId="19" borderId="139" xfId="0" applyFill="1" applyBorder="1" applyAlignment="1">
      <alignment horizontal="center"/>
    </xf>
    <xf numFmtId="0" fontId="0" fillId="19" borderId="140" xfId="0" applyFill="1" applyBorder="1" applyAlignment="1">
      <alignment horizontal="center"/>
    </xf>
    <xf numFmtId="0" fontId="54" fillId="19" borderId="126" xfId="0" applyFont="1" applyFill="1" applyBorder="1" applyAlignment="1">
      <alignment horizontal="center"/>
    </xf>
    <xf numFmtId="0" fontId="54" fillId="19" borderId="141" xfId="0" applyFont="1" applyFill="1" applyBorder="1" applyAlignment="1">
      <alignment horizontal="center" vertical="center" textRotation="45"/>
    </xf>
    <xf numFmtId="0" fontId="54" fillId="19" borderId="142" xfId="0" applyFont="1" applyFill="1" applyBorder="1" applyAlignment="1">
      <alignment horizontal="center" vertical="center" textRotation="45"/>
    </xf>
    <xf numFmtId="0" fontId="56" fillId="19" borderId="143" xfId="0" applyFont="1" applyFill="1" applyBorder="1" applyAlignment="1">
      <alignment horizontal="center" vertical="center" wrapText="1"/>
    </xf>
    <xf numFmtId="0" fontId="56" fillId="19" borderId="152" xfId="0" applyFont="1" applyFill="1" applyBorder="1" applyAlignment="1">
      <alignment horizontal="center" vertical="center" wrapText="1"/>
    </xf>
    <xf numFmtId="0" fontId="0" fillId="19" borderId="129" xfId="0" applyFill="1" applyBorder="1" applyAlignment="1">
      <alignment horizontal="center"/>
    </xf>
    <xf numFmtId="0" fontId="0" fillId="19" borderId="130" xfId="0" applyFill="1" applyBorder="1" applyAlignment="1">
      <alignment horizontal="center"/>
    </xf>
    <xf numFmtId="164" fontId="55" fillId="18" borderId="131" xfId="0" applyNumberFormat="1" applyFont="1" applyFill="1" applyBorder="1" applyAlignment="1">
      <alignment horizontal="center" vertical="center"/>
    </xf>
    <xf numFmtId="164" fontId="55" fillId="18" borderId="132" xfId="0" applyNumberFormat="1" applyFont="1" applyFill="1" applyBorder="1" applyAlignment="1">
      <alignment horizontal="center" vertical="center"/>
    </xf>
    <xf numFmtId="0" fontId="0" fillId="18" borderId="131" xfId="0" applyFill="1" applyBorder="1" applyAlignment="1">
      <alignment horizontal="center" vertical="center"/>
    </xf>
    <xf numFmtId="0" fontId="0" fillId="18" borderId="132" xfId="0" applyFill="1" applyBorder="1" applyAlignment="1">
      <alignment horizontal="center" vertical="center"/>
    </xf>
    <xf numFmtId="164" fontId="0" fillId="18" borderId="131" xfId="0" applyNumberFormat="1" applyFill="1" applyBorder="1" applyAlignment="1">
      <alignment horizontal="center" vertical="center"/>
    </xf>
    <xf numFmtId="164" fontId="0" fillId="18" borderId="132" xfId="0" applyNumberFormat="1" applyFill="1" applyBorder="1" applyAlignment="1">
      <alignment horizontal="center" vertical="center"/>
    </xf>
    <xf numFmtId="164" fontId="0" fillId="18" borderId="139" xfId="0" applyNumberFormat="1" applyFill="1" applyBorder="1" applyAlignment="1">
      <alignment horizontal="center" vertical="center"/>
    </xf>
    <xf numFmtId="164" fontId="0" fillId="18" borderId="140" xfId="0" applyNumberFormat="1" applyFill="1" applyBorder="1" applyAlignment="1">
      <alignment horizontal="center" vertical="center"/>
    </xf>
    <xf numFmtId="0" fontId="54" fillId="18" borderId="126" xfId="0" applyFont="1" applyFill="1" applyBorder="1" applyAlignment="1">
      <alignment horizontal="center" vertical="center"/>
    </xf>
    <xf numFmtId="0" fontId="54" fillId="18" borderId="127" xfId="0" applyFont="1" applyFill="1" applyBorder="1" applyAlignment="1">
      <alignment horizontal="center" vertical="center" textRotation="45"/>
    </xf>
    <xf numFmtId="0" fontId="54" fillId="18" borderId="128" xfId="0" applyFont="1" applyFill="1" applyBorder="1" applyAlignment="1">
      <alignment horizontal="center" vertical="center" textRotation="45"/>
    </xf>
    <xf numFmtId="0" fontId="56" fillId="18" borderId="194" xfId="0" applyFont="1" applyFill="1" applyBorder="1" applyAlignment="1">
      <alignment horizontal="center" vertical="center"/>
    </xf>
    <xf numFmtId="0" fontId="56" fillId="18" borderId="195" xfId="0" applyFont="1" applyFill="1" applyBorder="1" applyAlignment="1">
      <alignment horizontal="center" vertical="center"/>
    </xf>
    <xf numFmtId="0" fontId="0" fillId="18" borderId="129" xfId="0" applyFill="1" applyBorder="1" applyAlignment="1">
      <alignment horizontal="center" vertical="center"/>
    </xf>
    <xf numFmtId="0" fontId="0" fillId="18" borderId="130" xfId="0" applyFill="1" applyBorder="1" applyAlignment="1">
      <alignment horizontal="center" vertical="center"/>
    </xf>
    <xf numFmtId="0" fontId="23" fillId="6" borderId="68" xfId="0" applyFont="1" applyFill="1" applyBorder="1" applyAlignment="1" applyProtection="1">
      <alignment horizontal="center" vertical="center"/>
      <protection locked="0"/>
    </xf>
    <xf numFmtId="0" fontId="23" fillId="6" borderId="69" xfId="0" applyFont="1" applyFill="1" applyBorder="1" applyAlignment="1" applyProtection="1">
      <alignment horizontal="center" vertical="center"/>
      <protection locked="0"/>
    </xf>
    <xf numFmtId="0" fontId="4" fillId="2" borderId="2" xfId="0" applyFont="1" applyFill="1" applyBorder="1" applyAlignment="1" applyProtection="1">
      <alignment horizontal="right" vertical="center"/>
      <protection locked="0"/>
    </xf>
    <xf numFmtId="0" fontId="8" fillId="2" borderId="4" xfId="0" applyFont="1" applyFill="1" applyBorder="1" applyAlignment="1" applyProtection="1">
      <alignment horizontal="center" vertical="center" wrapText="1"/>
      <protection locked="0"/>
    </xf>
    <xf numFmtId="0" fontId="13" fillId="4" borderId="1" xfId="0" applyFont="1" applyFill="1" applyBorder="1" applyAlignment="1" applyProtection="1">
      <alignment horizontal="center" vertical="center"/>
      <protection locked="0"/>
    </xf>
    <xf numFmtId="0" fontId="13" fillId="4" borderId="2" xfId="0" applyFont="1" applyFill="1" applyBorder="1" applyAlignment="1" applyProtection="1">
      <alignment horizontal="center" vertical="center"/>
      <protection locked="0"/>
    </xf>
    <xf numFmtId="0" fontId="51" fillId="4" borderId="2" xfId="0" quotePrefix="1" applyFont="1" applyFill="1" applyBorder="1" applyAlignment="1" applyProtection="1">
      <alignment horizontal="center" vertical="center"/>
      <protection locked="0"/>
    </xf>
    <xf numFmtId="0" fontId="51" fillId="4" borderId="5" xfId="0" quotePrefix="1" applyFont="1" applyFill="1" applyBorder="1" applyAlignment="1" applyProtection="1">
      <alignment horizontal="center" vertical="center"/>
      <protection locked="0"/>
    </xf>
    <xf numFmtId="164" fontId="14" fillId="4" borderId="1" xfId="0" applyNumberFormat="1" applyFont="1" applyFill="1" applyBorder="1" applyAlignment="1" applyProtection="1">
      <alignment horizontal="center" vertical="center"/>
      <protection locked="0"/>
    </xf>
    <xf numFmtId="164" fontId="14" fillId="4" borderId="2" xfId="0" applyNumberFormat="1" applyFont="1" applyFill="1" applyBorder="1" applyAlignment="1" applyProtection="1">
      <alignment horizontal="center" vertical="center"/>
      <protection locked="0"/>
    </xf>
    <xf numFmtId="164" fontId="14" fillId="4" borderId="5" xfId="0" applyNumberFormat="1" applyFont="1" applyFill="1" applyBorder="1" applyAlignment="1" applyProtection="1">
      <alignment horizontal="center" vertical="center"/>
      <protection locked="0"/>
    </xf>
    <xf numFmtId="164" fontId="15" fillId="4" borderId="9" xfId="0" applyNumberFormat="1" applyFont="1" applyFill="1" applyBorder="1" applyAlignment="1" applyProtection="1">
      <alignment horizontal="center" vertical="center" wrapText="1"/>
      <protection locked="0"/>
    </xf>
    <xf numFmtId="164" fontId="15" fillId="4" borderId="10" xfId="0" applyNumberFormat="1" applyFont="1" applyFill="1" applyBorder="1" applyAlignment="1" applyProtection="1">
      <alignment horizontal="center" vertical="center" wrapText="1"/>
      <protection locked="0"/>
    </xf>
    <xf numFmtId="164" fontId="15" fillId="4" borderId="11" xfId="0" applyNumberFormat="1" applyFont="1" applyFill="1" applyBorder="1" applyAlignment="1" applyProtection="1">
      <alignment horizontal="center" vertical="center" wrapText="1"/>
      <protection locked="0"/>
    </xf>
    <xf numFmtId="0" fontId="20" fillId="6" borderId="24" xfId="0" applyFont="1" applyFill="1" applyBorder="1" applyAlignment="1" applyProtection="1">
      <alignment horizontal="center" vertical="center" textRotation="45"/>
      <protection locked="0"/>
    </xf>
    <xf numFmtId="0" fontId="20" fillId="6" borderId="34" xfId="0" applyFont="1" applyFill="1" applyBorder="1" applyAlignment="1" applyProtection="1">
      <alignment horizontal="center" vertical="center" textRotation="45"/>
      <protection locked="0"/>
    </xf>
    <xf numFmtId="0" fontId="20" fillId="6" borderId="63" xfId="0" applyFont="1" applyFill="1" applyBorder="1" applyAlignment="1" applyProtection="1">
      <alignment horizontal="center" vertical="center" textRotation="45"/>
      <protection locked="0"/>
    </xf>
    <xf numFmtId="0" fontId="23" fillId="6" borderId="48" xfId="0" applyFont="1" applyFill="1" applyBorder="1" applyAlignment="1" applyProtection="1">
      <alignment horizontal="center" vertical="center"/>
      <protection locked="0"/>
    </xf>
    <xf numFmtId="0" fontId="23" fillId="6" borderId="49" xfId="0" applyFont="1" applyFill="1" applyBorder="1" applyAlignment="1" applyProtection="1">
      <alignment horizontal="center" vertical="center"/>
      <protection locked="0"/>
    </xf>
    <xf numFmtId="0" fontId="21" fillId="11" borderId="34" xfId="0" applyFont="1" applyFill="1" applyBorder="1" applyAlignment="1" applyProtection="1">
      <alignment horizontal="center" vertical="center" textRotation="45" wrapText="1"/>
      <protection locked="0"/>
    </xf>
    <xf numFmtId="0" fontId="21" fillId="11" borderId="63" xfId="0" applyFont="1" applyFill="1" applyBorder="1" applyAlignment="1" applyProtection="1">
      <alignment horizontal="center" vertical="center" textRotation="45" wrapText="1"/>
      <protection locked="0"/>
    </xf>
    <xf numFmtId="0" fontId="23" fillId="11" borderId="48" xfId="0" applyFont="1" applyFill="1" applyBorder="1" applyAlignment="1" applyProtection="1">
      <alignment horizontal="center" vertical="center"/>
      <protection locked="0"/>
    </xf>
    <xf numFmtId="0" fontId="23" fillId="11" borderId="49" xfId="0" applyFont="1" applyFill="1" applyBorder="1" applyAlignment="1" applyProtection="1">
      <alignment horizontal="center" vertical="center"/>
      <protection locked="0"/>
    </xf>
    <xf numFmtId="164" fontId="15" fillId="4" borderId="1" xfId="0" applyNumberFormat="1" applyFont="1" applyFill="1" applyBorder="1" applyAlignment="1" applyProtection="1">
      <alignment horizontal="center" vertical="center" wrapText="1"/>
      <protection locked="0"/>
    </xf>
    <xf numFmtId="164" fontId="15" fillId="4" borderId="2" xfId="0" applyNumberFormat="1" applyFont="1" applyFill="1" applyBorder="1" applyAlignment="1" applyProtection="1">
      <alignment horizontal="center" vertical="center" wrapText="1"/>
      <protection locked="0"/>
    </xf>
    <xf numFmtId="0" fontId="23" fillId="16" borderId="48" xfId="0" applyFont="1" applyFill="1" applyBorder="1" applyAlignment="1" applyProtection="1">
      <alignment horizontal="center" vertical="center" wrapText="1"/>
      <protection locked="0"/>
    </xf>
    <xf numFmtId="0" fontId="23" fillId="16" borderId="93" xfId="0" applyFont="1" applyFill="1" applyBorder="1" applyAlignment="1" applyProtection="1">
      <alignment horizontal="center" vertical="center" wrapText="1"/>
      <protection locked="0"/>
    </xf>
    <xf numFmtId="0" fontId="23" fillId="17" borderId="154" xfId="0" applyFont="1" applyFill="1" applyBorder="1" applyAlignment="1" applyProtection="1">
      <alignment horizontal="center" vertical="center" textRotation="45"/>
      <protection locked="0"/>
    </xf>
    <xf numFmtId="0" fontId="23" fillId="17" borderId="63" xfId="0" applyFont="1" applyFill="1" applyBorder="1" applyAlignment="1" applyProtection="1">
      <alignment horizontal="center" vertical="center" textRotation="45"/>
      <protection locked="0"/>
    </xf>
    <xf numFmtId="0" fontId="23" fillId="17" borderId="48" xfId="0" applyFont="1" applyFill="1" applyBorder="1" applyAlignment="1" applyProtection="1">
      <alignment horizontal="center" vertical="center" wrapText="1"/>
      <protection locked="0"/>
    </xf>
    <xf numFmtId="0" fontId="23" fillId="17" borderId="93" xfId="0" applyFont="1" applyFill="1" applyBorder="1" applyAlignment="1" applyProtection="1">
      <alignment horizontal="center" vertical="center" wrapText="1"/>
      <protection locked="0"/>
    </xf>
    <xf numFmtId="0" fontId="23" fillId="14" borderId="24" xfId="0" applyFont="1" applyFill="1" applyBorder="1" applyAlignment="1" applyProtection="1">
      <alignment horizontal="center" vertical="center" textRotation="45"/>
      <protection locked="0"/>
    </xf>
    <xf numFmtId="0" fontId="23" fillId="14" borderId="63" xfId="0" applyFont="1" applyFill="1" applyBorder="1" applyAlignment="1" applyProtection="1">
      <alignment horizontal="center" vertical="center" textRotation="45"/>
      <protection locked="0"/>
    </xf>
    <xf numFmtId="0" fontId="21" fillId="14" borderId="143" xfId="0" applyFont="1" applyFill="1" applyBorder="1" applyAlignment="1" applyProtection="1">
      <alignment horizontal="center" vertical="center" wrapText="1"/>
      <protection locked="0"/>
    </xf>
    <xf numFmtId="0" fontId="21" fillId="14" borderId="65" xfId="0" applyFont="1" applyFill="1" applyBorder="1" applyAlignment="1" applyProtection="1">
      <alignment horizontal="center" vertical="center" wrapText="1"/>
      <protection locked="0"/>
    </xf>
    <xf numFmtId="0" fontId="23" fillId="14" borderId="48" xfId="0" applyFont="1" applyFill="1" applyBorder="1" applyAlignment="1" applyProtection="1">
      <alignment horizontal="center" vertical="center" wrapText="1"/>
      <protection locked="0"/>
    </xf>
    <xf numFmtId="0" fontId="23" fillId="14" borderId="93" xfId="0" applyFont="1" applyFill="1" applyBorder="1" applyAlignment="1" applyProtection="1">
      <alignment horizontal="center" vertical="center" wrapText="1"/>
      <protection locked="0"/>
    </xf>
    <xf numFmtId="0" fontId="23" fillId="15" borderId="196" xfId="0" applyFont="1" applyFill="1" applyBorder="1" applyAlignment="1" applyProtection="1">
      <alignment horizontal="center" vertical="center" textRotation="45"/>
      <protection locked="0"/>
    </xf>
    <xf numFmtId="0" fontId="23" fillId="15" borderId="197" xfId="0" applyFont="1" applyFill="1" applyBorder="1" applyAlignment="1" applyProtection="1">
      <alignment horizontal="center" vertical="center" textRotation="45"/>
      <protection locked="0"/>
    </xf>
    <xf numFmtId="0" fontId="23" fillId="15" borderId="48" xfId="0" applyFont="1" applyFill="1" applyBorder="1" applyAlignment="1" applyProtection="1">
      <alignment horizontal="center" vertical="center" wrapText="1"/>
      <protection locked="0"/>
    </xf>
    <xf numFmtId="0" fontId="23" fillId="15" borderId="93" xfId="0" applyFont="1" applyFill="1" applyBorder="1" applyAlignment="1" applyProtection="1">
      <alignment horizontal="center" vertical="center" wrapText="1"/>
      <protection locked="0"/>
    </xf>
    <xf numFmtId="0" fontId="23" fillId="16" borderId="24" xfId="0" applyFont="1" applyFill="1" applyBorder="1" applyAlignment="1" applyProtection="1">
      <alignment horizontal="center" vertical="center" textRotation="45" wrapText="1"/>
      <protection locked="0"/>
    </xf>
    <xf numFmtId="0" fontId="23" fillId="16" borderId="63" xfId="0" applyFont="1" applyFill="1" applyBorder="1" applyAlignment="1" applyProtection="1">
      <alignment horizontal="center" vertical="center" textRotation="45" wrapText="1"/>
      <protection locked="0"/>
    </xf>
    <xf numFmtId="170" fontId="0" fillId="0" borderId="0" xfId="0" applyNumberFormat="1" applyFont="1"/>
  </cellXfs>
  <cellStyles count="4">
    <cellStyle name="Comma" xfId="1" builtinId="3"/>
    <cellStyle name="Currency" xfId="2" builtinId="4"/>
    <cellStyle name="Normal" xfId="0" builtinId="0"/>
    <cellStyle name="Percent" xfId="3" builtinId="5"/>
  </cellStyles>
  <dxfs count="67">
    <dxf>
      <font>
        <b/>
        <i val="0"/>
        <color rgb="FFFFFF00"/>
      </font>
      <fill>
        <gradientFill type="path" left="0.5" right="0.5" top="0.5" bottom="0.5">
          <stop position="0">
            <color theme="4" tint="-0.25098422193060094"/>
          </stop>
          <stop position="1">
            <color theme="4"/>
          </stop>
        </gradientFill>
      </fill>
    </dxf>
    <dxf>
      <font>
        <color rgb="FFA7BCE3"/>
      </font>
    </dxf>
    <dxf>
      <font>
        <color rgb="FFA7BCE3"/>
      </font>
    </dxf>
    <dxf>
      <font>
        <color rgb="FF006100"/>
      </font>
      <fill>
        <patternFill>
          <bgColor rgb="FFC6EF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9C5700"/>
      </font>
      <fill>
        <patternFill>
          <bgColor rgb="FFFFEB9C"/>
        </patternFill>
      </fill>
    </dxf>
    <dxf>
      <font>
        <color rgb="FF006100"/>
      </font>
      <fill>
        <patternFill>
          <bgColor rgb="FFC6EFCE"/>
        </patternFill>
      </fill>
    </dxf>
    <dxf>
      <font>
        <color rgb="FF006100"/>
      </font>
      <fill>
        <patternFill>
          <bgColor rgb="FFC6EF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9C5700"/>
      </font>
      <fill>
        <patternFill>
          <bgColor rgb="FFFFEB9C"/>
        </patternFill>
      </fill>
    </dxf>
    <dxf>
      <font>
        <color rgb="FF006100"/>
      </font>
      <fill>
        <patternFill>
          <bgColor rgb="FFC6EFCE"/>
        </patternFill>
      </fill>
    </dxf>
    <dxf>
      <font>
        <color rgb="FF006100"/>
      </font>
      <fill>
        <patternFill>
          <bgColor rgb="FFC6EF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9C5700"/>
      </font>
      <fill>
        <patternFill>
          <bgColor rgb="FFFFEB9C"/>
        </patternFill>
      </fill>
    </dxf>
    <dxf>
      <font>
        <color rgb="FF006100"/>
      </font>
      <fill>
        <patternFill>
          <bgColor rgb="FFC6EFCE"/>
        </patternFill>
      </fill>
    </dxf>
    <dxf>
      <font>
        <color rgb="FFA7BCE3"/>
      </font>
    </dxf>
    <dxf>
      <font>
        <color rgb="FFA7BCE3"/>
      </font>
    </dxf>
    <dxf>
      <font>
        <color rgb="FF3964B1"/>
      </font>
    </dxf>
    <dxf>
      <font>
        <color rgb="FF006100"/>
      </font>
      <fill>
        <patternFill>
          <bgColor rgb="FFC6EF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9C5700"/>
      </font>
      <fill>
        <patternFill>
          <bgColor rgb="FFFFEB9C"/>
        </patternFill>
      </fill>
    </dxf>
    <dxf>
      <font>
        <color rgb="FF006100"/>
      </font>
      <fill>
        <patternFill>
          <bgColor rgb="FFC6EFCE"/>
        </patternFill>
      </fill>
    </dxf>
    <dxf>
      <font>
        <b/>
        <i val="0"/>
        <color rgb="FFFFFF00"/>
      </font>
      <fill>
        <gradientFill type="path" left="0.5" right="0.5" top="0.5" bottom="0.5">
          <stop position="0">
            <color theme="4" tint="-0.25098422193060094"/>
          </stop>
          <stop position="1">
            <color theme="4"/>
          </stop>
        </gradientFill>
      </fill>
    </dxf>
    <dxf>
      <font>
        <color rgb="FFA7BCE3"/>
      </font>
    </dxf>
    <dxf>
      <font>
        <color rgb="FFA7BCE3"/>
      </font>
    </dxf>
    <dxf>
      <font>
        <color rgb="FF006100"/>
      </font>
      <fill>
        <patternFill>
          <bgColor rgb="FFC6EF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9C5700"/>
      </font>
      <fill>
        <patternFill>
          <bgColor rgb="FFFFEB9C"/>
        </patternFill>
      </fill>
    </dxf>
    <dxf>
      <font>
        <color rgb="FF006100"/>
      </font>
      <fill>
        <patternFill>
          <bgColor rgb="FFC6EFCE"/>
        </patternFill>
      </fill>
    </dxf>
    <dxf>
      <font>
        <color rgb="FF006100"/>
      </font>
      <fill>
        <patternFill>
          <bgColor rgb="FFC6EF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9C5700"/>
      </font>
      <fill>
        <patternFill>
          <bgColor rgb="FFFFEB9C"/>
        </patternFill>
      </fill>
    </dxf>
    <dxf>
      <font>
        <color rgb="FF006100"/>
      </font>
      <fill>
        <patternFill>
          <bgColor rgb="FFC6EFCE"/>
        </patternFill>
      </fill>
    </dxf>
    <dxf>
      <font>
        <color rgb="FF006100"/>
      </font>
      <fill>
        <patternFill>
          <bgColor rgb="FFC6EF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9C5700"/>
      </font>
      <fill>
        <patternFill>
          <bgColor rgb="FFFFEB9C"/>
        </patternFill>
      </fill>
    </dxf>
    <dxf>
      <font>
        <color rgb="FF006100"/>
      </font>
      <fill>
        <patternFill>
          <bgColor rgb="FFC6EFCE"/>
        </patternFill>
      </fill>
    </dxf>
    <dxf>
      <font>
        <color rgb="FFA7BCE3"/>
      </font>
    </dxf>
    <dxf>
      <font>
        <color rgb="FFA7BCE3"/>
      </font>
    </dxf>
    <dxf>
      <font>
        <color rgb="FF3964B1"/>
      </font>
    </dxf>
    <dxf>
      <font>
        <color rgb="FF006100"/>
      </font>
      <fill>
        <patternFill>
          <bgColor rgb="FFC6EF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9C5700"/>
      </font>
      <fill>
        <patternFill>
          <bgColor rgb="FFFFEB9C"/>
        </patternFill>
      </fill>
    </dxf>
    <dxf>
      <font>
        <color rgb="FF006100"/>
      </font>
      <fill>
        <patternFill>
          <bgColor rgb="FFC6EFCE"/>
        </patternFill>
      </fill>
    </dxf>
    <dxf>
      <numFmt numFmtId="175" formatCode="m/d/yyyy;@"/>
    </dxf>
    <dxf>
      <numFmt numFmtId="170" formatCode="&quot;$&quot;#,##0.00"/>
    </dxf>
    <dxf>
      <numFmt numFmtId="170" formatCode="&quot;$&quot;#,##0.00"/>
    </dxf>
    <dxf>
      <numFmt numFmtId="170" formatCode="&quot;$&quot;#,##0.00"/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1"/>
        <color theme="1"/>
        <name val="Calibri"/>
        <family val="2"/>
        <scheme val="minor"/>
      </font>
      <numFmt numFmtId="170" formatCode="&quot;$&quot;#,##0.00"/>
    </dxf>
    <dxf>
      <numFmt numFmtId="170" formatCode="&quot;$&quot;#,##0.00"/>
    </dxf>
    <dxf>
      <numFmt numFmtId="170" formatCode="&quot;$&quot;#,##0.00"/>
    </dxf>
    <dxf>
      <numFmt numFmtId="170" formatCode="&quot;$&quot;#,##0.00"/>
    </dxf>
    <dxf>
      <numFmt numFmtId="170" formatCode="&quot;$&quot;#,##0.00"/>
    </dxf>
    <dxf>
      <numFmt numFmtId="170" formatCode="&quot;$&quot;#,##0.00"/>
    </dxf>
    <dxf>
      <numFmt numFmtId="170" formatCode="&quot;$&quot;#,##0.00"/>
    </dxf>
    <dxf>
      <numFmt numFmtId="173" formatCode="0.0"/>
    </dxf>
    <dxf>
      <numFmt numFmtId="170" formatCode="&quot;$&quot;#,##0.00"/>
    </dxf>
    <dxf>
      <numFmt numFmtId="170" formatCode="&quot;$&quot;#,##0.00"/>
    </dxf>
    <dxf>
      <numFmt numFmtId="170" formatCode="&quot;$&quot;#,##0.00"/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1"/>
        <color theme="1"/>
        <name val="Calibri"/>
        <family val="2"/>
        <scheme val="minor"/>
      </font>
      <numFmt numFmtId="170" formatCode="&quot;$&quot;#,##0.00"/>
    </dxf>
    <dxf>
      <numFmt numFmtId="170" formatCode="&quot;$&quot;#,##0.00"/>
    </dxf>
    <dxf>
      <numFmt numFmtId="170" formatCode="&quot;$&quot;#,##0.00"/>
    </dxf>
    <dxf>
      <numFmt numFmtId="170" formatCode="&quot;$&quot;#,##0.00"/>
    </dxf>
    <dxf>
      <numFmt numFmtId="170" formatCode="&quot;$&quot;#,##0.00"/>
    </dxf>
    <dxf>
      <numFmt numFmtId="170" formatCode="&quot;$&quot;#,##0.00"/>
    </dxf>
    <dxf>
      <numFmt numFmtId="170" formatCode="&quot;$&quot;#,##0.00"/>
    </dxf>
    <dxf>
      <numFmt numFmtId="173" formatCode="0.0"/>
    </dxf>
  </dxfs>
  <tableStyles count="1" defaultTableStyle="TableStyleMedium2" defaultPivotStyle="PivotStyleLight16">
    <tableStyle name="Estilo de tabla dinámica 1" table="0" count="0" xr9:uid="{CCB3E0C9-CD1F-446C-B527-608C02090815}"/>
  </tableStyles>
  <colors>
    <mruColors>
      <color rgb="FF99CCFF"/>
      <color rgb="FFFF9999"/>
      <color rgb="FF0099CC"/>
      <color rgb="FFCC99FF"/>
    </mruColors>
  </colors>
  <extLst>
    <ext xmlns:x14="http://schemas.microsoft.com/office/spreadsheetml/2009/9/main" uri="{EB79DEF2-80B8-43e5-95BD-54CBDDF9020C}">
      <x14:slicerStyles defaultSlicerStyle="SlicerStyleLight1"/>
    </ext>
    <ext xmlns:x15="http://schemas.microsoft.com/office/spreadsheetml/2010/11/main" uri="{9260A510-F301-46a8-8635-F512D64BE5F5}">
      <x15:timelineStyles defaultTimelineStyle="TimeSlicerStyleLight1"/>
    </ext>
  </extLst>
</styleSheet>
</file>

<file path=xl/_rels/workbook.xml.rels><?xml version="1.0" encoding="UTF-8" standalone="yes"?>
<Relationships xmlns="http://schemas.openxmlformats.org/package/2006/relationships"><Relationship Id="rId8" Type="http://schemas.openxmlformats.org/officeDocument/2006/relationships/sharedStrings" Target="sharedStrings.xml"/><Relationship Id="rId3" Type="http://schemas.openxmlformats.org/officeDocument/2006/relationships/worksheet" Target="worksheets/sheet3.xml"/><Relationship Id="rId7" Type="http://schemas.openxmlformats.org/officeDocument/2006/relationships/styles" Target="styles.xml"/><Relationship Id="rId2" Type="http://schemas.openxmlformats.org/officeDocument/2006/relationships/worksheet" Target="worksheets/sheet2.xml"/><Relationship Id="rId1" Type="http://schemas.openxmlformats.org/officeDocument/2006/relationships/worksheet" Target="worksheets/sheet1.xml"/><Relationship Id="rId6" Type="http://schemas.openxmlformats.org/officeDocument/2006/relationships/theme" Target="theme/theme1.xml"/><Relationship Id="rId5" Type="http://schemas.openxmlformats.org/officeDocument/2006/relationships/worksheet" Target="worksheets/sheet5.xml"/><Relationship Id="rId10" Type="http://schemas.microsoft.com/office/2006/relationships/vbaProject" Target="vbaProject.bin"/><Relationship Id="rId4" Type="http://schemas.openxmlformats.org/officeDocument/2006/relationships/worksheet" Target="worksheets/sheet4.xml"/><Relationship Id="rId9" Type="http://schemas.openxmlformats.org/officeDocument/2006/relationships/calcChain" Target="calcChain.xml"/></Relationships>
</file>

<file path=xl/drawings/_rels/drawing1.xml.rels><?xml version="1.0" encoding="UTF-8" standalone="yes"?>
<Relationships xmlns="http://schemas.openxmlformats.org/package/2006/relationships"><Relationship Id="rId2" Type="http://schemas.openxmlformats.org/officeDocument/2006/relationships/image" Target="cid:image001.png@01D81F5F.8553DE90" TargetMode="External"/><Relationship Id="rId1" Type="http://schemas.openxmlformats.org/officeDocument/2006/relationships/image" Target="../media/image1.png"/></Relationships>
</file>

<file path=xl/drawings/_rels/drawing2.xml.rels><?xml version="1.0" encoding="UTF-8" standalone="yes"?>
<Relationships xmlns="http://schemas.openxmlformats.org/package/2006/relationships"><Relationship Id="rId2" Type="http://schemas.openxmlformats.org/officeDocument/2006/relationships/image" Target="cid:image001.png@01D81F5F.8553DE90" TargetMode="External"/><Relationship Id="rId1" Type="http://schemas.openxmlformats.org/officeDocument/2006/relationships/image" Target="../media/image1.png"/></Relationships>
</file>

<file path=xl/drawings/drawing1.xml><?xml version="1.0" encoding="utf-8"?>
<xdr:wsDr xmlns:xdr="http://schemas.openxmlformats.org/drawingml/2006/spreadsheetDrawing" xmlns:a="http://schemas.openxmlformats.org/drawingml/2006/main">
  <xdr:twoCellAnchor>
    <xdr:from>
      <xdr:col>1</xdr:col>
      <xdr:colOff>142876</xdr:colOff>
      <xdr:row>0</xdr:row>
      <xdr:rowOff>83344</xdr:rowOff>
    </xdr:from>
    <xdr:to>
      <xdr:col>1</xdr:col>
      <xdr:colOff>2157413</xdr:colOff>
      <xdr:row>0</xdr:row>
      <xdr:rowOff>435769</xdr:rowOff>
    </xdr:to>
    <xdr:pic macro="[0]!_xludf.VLookup">
      <xdr:nvPicPr>
        <xdr:cNvPr id="9" name="Picture 2">
          <a:extLst>
            <a:ext uri="{FF2B5EF4-FFF2-40B4-BE49-F238E27FC236}">
              <a16:creationId xmlns:a16="http://schemas.microsoft.com/office/drawing/2014/main" id="{00000000-0008-0000-0000-000009000000}"/>
            </a:ext>
          </a:extLst>
        </xdr:cNvPr>
        <xdr:cNvPicPr>
          <a:picLocks noChangeAspect="1" noChangeArrowheads="1"/>
        </xdr:cNvPicPr>
      </xdr:nvPicPr>
      <xdr:blipFill>
        <a:blip xmlns:r="http://schemas.openxmlformats.org/officeDocument/2006/relationships" r:embed="rId1" r:link="rId2">
          <a:extLst>
            <a:ext uri="{28A0092B-C50C-407E-A947-70E740481C1C}">
              <a14:useLocalDpi xmlns:a14="http://schemas.microsoft.com/office/drawing/2010/main" val="0"/>
            </a:ext>
          </a:extLst>
        </a:blip>
        <a:srcRect/>
        <a:stretch>
          <a:fillRect/>
        </a:stretch>
      </xdr:blipFill>
      <xdr:spPr bwMode="auto">
        <a:xfrm>
          <a:off x="1009651" y="83344"/>
          <a:ext cx="2014537" cy="352425"/>
        </a:xfrm>
        <a:prstGeom prst="rect">
          <a:avLst/>
        </a:prstGeom>
        <a:noFill/>
        <a:extLst>
          <a:ext uri="{909E8E84-426E-40DD-AFC4-6F175D3DCCD1}">
            <a14:hiddenFill xmlns:a14="http://schemas.microsoft.com/office/drawing/2010/main">
              <a:solidFill>
                <a:srgbClr val="FFFFFF"/>
              </a:solidFill>
            </a14:hiddenFill>
          </a:ext>
        </a:extLst>
      </xdr:spPr>
    </xdr:pic>
    <xdr:clientData/>
  </xdr:twoCellAnchor>
  <xdr:twoCellAnchor>
    <xdr:from>
      <xdr:col>4</xdr:col>
      <xdr:colOff>1</xdr:colOff>
      <xdr:row>1</xdr:row>
      <xdr:rowOff>22412</xdr:rowOff>
    </xdr:from>
    <xdr:to>
      <xdr:col>5</xdr:col>
      <xdr:colOff>1333501</xdr:colOff>
      <xdr:row>1</xdr:row>
      <xdr:rowOff>347382</xdr:rowOff>
    </xdr:to>
    <xdr:sp macro="[0]!btnFechaSheet" textlink="">
      <xdr:nvSpPr>
        <xdr:cNvPr id="2" name="Rectángulo 1" descr="Calendar">
          <a:extLst>
            <a:ext uri="{FF2B5EF4-FFF2-40B4-BE49-F238E27FC236}">
              <a16:creationId xmlns:a16="http://schemas.microsoft.com/office/drawing/2014/main" id="{8541077B-DCF4-46B6-F951-B190D2754C23}"/>
            </a:ext>
          </a:extLst>
        </xdr:cNvPr>
        <xdr:cNvSpPr/>
      </xdr:nvSpPr>
      <xdr:spPr>
        <a:xfrm>
          <a:off x="5625354" y="493059"/>
          <a:ext cx="2487706" cy="324970"/>
        </a:xfrm>
        <a:prstGeom prst="rect">
          <a:avLst/>
        </a:prstGeom>
        <a:ln>
          <a:solidFill>
            <a:schemeClr val="bg2">
              <a:lumMod val="75000"/>
            </a:schemeClr>
          </a:solidFill>
        </a:ln>
      </xdr:spPr>
      <xdr:style>
        <a:lnRef idx="3">
          <a:schemeClr val="lt1"/>
        </a:lnRef>
        <a:fillRef idx="1">
          <a:schemeClr val="accent3"/>
        </a:fillRef>
        <a:effectRef idx="1">
          <a:schemeClr val="accent3"/>
        </a:effectRef>
        <a:fontRef idx="minor">
          <a:schemeClr val="lt1"/>
        </a:fontRef>
      </xdr:style>
      <xdr:txBody>
        <a:bodyPr vertOverflow="clip" horzOverflow="clip" rtlCol="0" anchor="ctr"/>
        <a:lstStyle/>
        <a:p>
          <a:pPr algn="ctr"/>
          <a:r>
            <a:rPr lang="es-MX" sz="1600"/>
            <a:t>Calendar</a:t>
          </a:r>
        </a:p>
      </xdr:txBody>
    </xdr:sp>
    <xdr:clientData/>
  </xdr:twoCellAnchor>
</xdr:wsDr>
</file>

<file path=xl/drawings/drawing2.xml><?xml version="1.0" encoding="utf-8"?>
<xdr:wsDr xmlns:xdr="http://schemas.openxmlformats.org/drawingml/2006/spreadsheetDrawing" xmlns:a="http://schemas.openxmlformats.org/drawingml/2006/main">
  <xdr:twoCellAnchor>
    <xdr:from>
      <xdr:col>1</xdr:col>
      <xdr:colOff>142876</xdr:colOff>
      <xdr:row>0</xdr:row>
      <xdr:rowOff>83344</xdr:rowOff>
    </xdr:from>
    <xdr:to>
      <xdr:col>1</xdr:col>
      <xdr:colOff>2157413</xdr:colOff>
      <xdr:row>0</xdr:row>
      <xdr:rowOff>435769</xdr:rowOff>
    </xdr:to>
    <xdr:pic macro="[0]!_xludf.VLookup">
      <xdr:nvPicPr>
        <xdr:cNvPr id="2" name="Picture 2">
          <a:extLst>
            <a:ext uri="{FF2B5EF4-FFF2-40B4-BE49-F238E27FC236}">
              <a16:creationId xmlns:a16="http://schemas.microsoft.com/office/drawing/2014/main" id="{6D73CFBD-079E-4333-8897-8C629B76B307}"/>
            </a:ext>
          </a:extLst>
        </xdr:cNvPr>
        <xdr:cNvPicPr>
          <a:picLocks noChangeAspect="1" noChangeArrowheads="1"/>
        </xdr:cNvPicPr>
      </xdr:nvPicPr>
      <xdr:blipFill>
        <a:blip xmlns:r="http://schemas.openxmlformats.org/officeDocument/2006/relationships" r:embed="rId1" r:link="rId2">
          <a:extLst>
            <a:ext uri="{28A0092B-C50C-407E-A947-70E740481C1C}">
              <a14:useLocalDpi xmlns:a14="http://schemas.microsoft.com/office/drawing/2010/main" val="0"/>
            </a:ext>
          </a:extLst>
        </a:blip>
        <a:srcRect/>
        <a:stretch>
          <a:fillRect/>
        </a:stretch>
      </xdr:blipFill>
      <xdr:spPr bwMode="auto">
        <a:xfrm>
          <a:off x="1247776" y="83344"/>
          <a:ext cx="2014537" cy="352425"/>
        </a:xfrm>
        <a:prstGeom prst="rect">
          <a:avLst/>
        </a:prstGeom>
        <a:noFill/>
        <a:extLst>
          <a:ext uri="{909E8E84-426E-40DD-AFC4-6F175D3DCCD1}">
            <a14:hiddenFill xmlns:a14="http://schemas.microsoft.com/office/drawing/2010/main">
              <a:solidFill>
                <a:srgbClr val="FFFFFF"/>
              </a:solidFill>
            </a14:hiddenFill>
          </a:ext>
        </a:extLst>
      </xdr:spPr>
    </xdr:pic>
    <xdr:clientData/>
  </xdr:twoCellAnchor>
  <xdr:twoCellAnchor>
    <xdr:from>
      <xdr:col>4</xdr:col>
      <xdr:colOff>1</xdr:colOff>
      <xdr:row>1</xdr:row>
      <xdr:rowOff>22412</xdr:rowOff>
    </xdr:from>
    <xdr:to>
      <xdr:col>5</xdr:col>
      <xdr:colOff>1333501</xdr:colOff>
      <xdr:row>1</xdr:row>
      <xdr:rowOff>347382</xdr:rowOff>
    </xdr:to>
    <xdr:sp macro="[0]!openYearFrm" textlink="">
      <xdr:nvSpPr>
        <xdr:cNvPr id="3" name="Rectángulo 2" descr="Calendar">
          <a:extLst>
            <a:ext uri="{FF2B5EF4-FFF2-40B4-BE49-F238E27FC236}">
              <a16:creationId xmlns:a16="http://schemas.microsoft.com/office/drawing/2014/main" id="{B1BB12EC-8118-43A6-99F2-B16017F3DA9A}"/>
            </a:ext>
          </a:extLst>
        </xdr:cNvPr>
        <xdr:cNvSpPr/>
      </xdr:nvSpPr>
      <xdr:spPr>
        <a:xfrm>
          <a:off x="5619751" y="489137"/>
          <a:ext cx="2486025" cy="324970"/>
        </a:xfrm>
        <a:prstGeom prst="rect">
          <a:avLst/>
        </a:prstGeom>
        <a:ln>
          <a:solidFill>
            <a:schemeClr val="bg2">
              <a:lumMod val="75000"/>
            </a:schemeClr>
          </a:solidFill>
        </a:ln>
      </xdr:spPr>
      <xdr:style>
        <a:lnRef idx="3">
          <a:schemeClr val="lt1"/>
        </a:lnRef>
        <a:fillRef idx="1">
          <a:schemeClr val="accent3"/>
        </a:fillRef>
        <a:effectRef idx="1">
          <a:schemeClr val="accent3"/>
        </a:effectRef>
        <a:fontRef idx="minor">
          <a:schemeClr val="lt1"/>
        </a:fontRef>
      </xdr:style>
      <xdr:txBody>
        <a:bodyPr vertOverflow="clip" horzOverflow="clip" rtlCol="0" anchor="ctr"/>
        <a:lstStyle/>
        <a:p>
          <a:pPr algn="ctr"/>
          <a:r>
            <a:rPr lang="es-MX" sz="1600"/>
            <a:t>Calendar</a:t>
          </a:r>
        </a:p>
      </xdr:txBody>
    </xdr:sp>
    <xdr:clientData/>
  </xdr:twoCellAnchor>
</xdr:wsDr>
</file>

<file path=xl/tables/table1.xml><?xml version="1.0" encoding="utf-8"?>
<table xmlns="http://schemas.openxmlformats.org/spreadsheetml/2006/main" xmlns:mc="http://schemas.openxmlformats.org/markup-compatibility/2006" xmlns:xr="http://schemas.microsoft.com/office/spreadsheetml/2014/revision" xmlns:xr3="http://schemas.microsoft.com/office/spreadsheetml/2016/revision3" mc:Ignorable="xr xr3" id="3" xr:uid="{C4085354-9A31-4841-9D3F-0557A0CAEFA4}" name="DataInfo" displayName="DataInfo" ref="A1:AR6" totalsRowShown="0">
  <autoFilter ref="A1:AR6" xr:uid="{C4085354-9A31-4841-9D3F-0557A0CAEFA4}"/>
  <tableColumns count="44">
    <tableColumn id="1" xr3:uid="{AB8C8275-6CB6-4EE5-B34B-74201695B892}" name="jobNo"/>
    <tableColumn id="2" xr3:uid="{EA05DA88-F82C-4198-AA06-9F495BD21664}" name="ST Hours"/>
    <tableColumn id="3" xr3:uid="{C5E9C180-E9F2-48E0-AA76-E5D93E2D72E9}" name="OT Hours" dataDxfId="66"/>
    <tableColumn id="4" xr3:uid="{194B0742-9035-4269-B161-25195EB3E0B3}" name="Total Hours"/>
    <tableColumn id="5" xr3:uid="{E653B1DE-646C-405B-B655-FDB9CC09C01C}" name="Labor Cost" dataDxfId="65"/>
    <tableColumn id="6" xr3:uid="{CEF9ED9A-AE1B-4261-9368-A50ACEB10909}" name="Scaffold-ADD"/>
    <tableColumn id="7" xr3:uid="{D08D08AE-E628-4D0B-9CCA-12D93A07D90E}" name="3rd Party Cost" dataDxfId="64"/>
    <tableColumn id="8" xr3:uid="{1D12CB81-F7A1-4443-9918-DF6A76532B27}" name="In House Vehicles" dataDxfId="63"/>
    <tableColumn id="9" xr3:uid="{65A6BF84-CB48-4513-BD5E-90CADB842B4C}" name="Scaffold" dataDxfId="62"/>
    <tableColumn id="10" xr3:uid="{F0550329-4420-4C5D-A759-E4378EEFA4B9}" name="Company Equipment" dataDxfId="61"/>
    <tableColumn id="11" xr3:uid="{CDE068DB-BC7C-41ED-9FE7-81D518BA2213}" name="Material Cost" dataDxfId="60"/>
    <tableColumn id="12" xr3:uid="{0C9D88FC-D4DF-4281-BFB2-6CC3295F9A46}" name="Subcontract Cost" dataDxfId="59"/>
    <tableColumn id="13" xr3:uid="{04D734D8-01EB-4D99-A11E-3106D37E1FA3}" name="Tools" dataDxfId="58"/>
    <tableColumn id="14" xr3:uid="{5B9EB4F5-E323-4C86-984E-AAF2F4C4AB63}" name="Consumables" dataDxfId="57"/>
    <tableColumn id="15" xr3:uid="{068B9F28-39D0-4F1E-9618-28FD3320AE50}" name="Other Cost" dataDxfId="56"/>
    <tableColumn id="16" xr3:uid="{0AC060B6-C457-4A5A-8891-AAABBB08A494}" name="Other Revanue"/>
    <tableColumn id="17" xr3:uid="{98C98F59-C39A-4CA4-8C20-D370B24AF4B1}" name="FICA"/>
    <tableColumn id="18" xr3:uid="{6C3A9A41-B180-493C-A613-AF79100BCD76}" name="FUI"/>
    <tableColumn id="19" xr3:uid="{72AA16C8-E7BD-4470-8BB6-ACBD272424EB}" name="SUI"/>
    <tableColumn id="20" xr3:uid="{BE7F1AB4-CD70-4208-9EEF-383BAD12164F}" name="WC"/>
    <tableColumn id="21" xr3:uid="{A7EFE5C6-8B8A-45EC-97F6-CA5C87FD5013}" name="Gen Liab"/>
    <tableColumn id="22" xr3:uid="{A7971802-5AF5-4417-B624-A9DE60CCE7E6}" name="Umbr"/>
    <tableColumn id="23" xr3:uid="{3C830360-D346-4626-AE1D-923C3296DF2A}" name="Pollution"/>
    <tableColumn id="24" xr3:uid="{463D522D-996A-4152-86C4-EFC2CB0E41F2}" name="Healt"/>
    <tableColumn id="25" xr3:uid="{5BF69F96-BD8C-48CF-8ADA-CCEFCA1B0468}" name="Fringe"/>
    <tableColumn id="26" xr3:uid="{B98FD994-9F68-4498-A14C-EC347F9913CA}" name="Small"/>
    <tableColumn id="27" xr3:uid="{F644BB94-2E15-4F6D-B871-411E343F1BF9}" name="PPE"/>
    <tableColumn id="28" xr3:uid="{9DB5578F-7C98-41B1-AD01-96E42E70ED66}" name="Consumable"/>
    <tableColumn id="29" xr3:uid="{96BE9631-0736-4F6B-A01E-15FB11DE2AE1}" name="Overhead"/>
    <tableColumn id="30" xr3:uid="{76689BBE-F9B5-4628-A6BF-BB51B9A730BB}" name="Profit"/>
    <tableColumn id="31" xr3:uid="{28B241A0-260C-4ABC-8025-12048B6418DD}" name="FICA P"/>
    <tableColumn id="32" xr3:uid="{F55710B0-E531-4CA2-B3A0-5E6BB2CD7A56}" name="FUI P"/>
    <tableColumn id="33" xr3:uid="{88FACCA5-D76A-4D1D-BD5E-F526062858EA}" name="SUI P"/>
    <tableColumn id="34" xr3:uid="{6F0ED1CA-0C2D-4BDB-BE1C-5C0CA7E81E5D}" name="WC P"/>
    <tableColumn id="35" xr3:uid="{AA70887D-DB41-4333-831A-6913C70856E3}" name="Gen Liab P"/>
    <tableColumn id="36" xr3:uid="{4867B12F-3C0C-4DEE-AB8D-B1A2A43ADECB}" name="Umbr P"/>
    <tableColumn id="37" xr3:uid="{4EE3BD6D-A286-41F5-888A-73FDE42C1323}" name="Pollution P"/>
    <tableColumn id="38" xr3:uid="{292363A4-FC9C-4072-A525-BA39C9196D7B}" name="Healt P"/>
    <tableColumn id="39" xr3:uid="{639EDE43-55D7-4A70-9938-5333B661DF0C}" name="Fringe P"/>
    <tableColumn id="40" xr3:uid="{518F685A-75E7-4453-943D-2183F5DB84BD}" name="Small P"/>
    <tableColumn id="41" xr3:uid="{96846466-C91E-428B-B8CB-3023CA35FF2E}" name="PPE P"/>
    <tableColumn id="42" xr3:uid="{464DF65C-F352-472C-95DD-B16DED84E3D4}" name="Consumable P"/>
    <tableColumn id="43" xr3:uid="{726DBF14-D9C0-45D4-A8BE-C24CA9EAAA9D}" name="Overhead P"/>
    <tableColumn id="44" xr3:uid="{924A9D34-63F1-4AAF-84C7-314015D5DF17}" name="Profit P"/>
  </tableColumns>
  <tableStyleInfo name="TableStyleMedium2" showFirstColumn="0" showLastColumn="0" showRowStripes="1" showColumnStripes="0"/>
</table>
</file>

<file path=xl/tables/table2.xml><?xml version="1.0" encoding="utf-8"?>
<table xmlns="http://schemas.openxmlformats.org/spreadsheetml/2006/main" xmlns:mc="http://schemas.openxmlformats.org/markup-compatibility/2006" xmlns:xr="http://schemas.microsoft.com/office/spreadsheetml/2014/revision" xmlns:xr3="http://schemas.microsoft.com/office/spreadsheetml/2016/revision3" mc:Ignorable="xr xr3" id="1" xr:uid="{728690FA-4A9D-402B-AB6A-7F591BA57658}" name="DataInfo2" displayName="DataInfo2" ref="A1:AR6" totalsRowShown="0">
  <autoFilter ref="A1:AR6" xr:uid="{C4085354-9A31-4841-9D3F-0557A0CAEFA4}"/>
  <tableColumns count="44">
    <tableColumn id="1" xr3:uid="{5B5F4004-8DD7-4902-BA9C-85C88A302451}" name="jobNo"/>
    <tableColumn id="2" xr3:uid="{F69BD3FC-F8B3-4F56-BDD5-B99C1DAAD75F}" name="ST Hours"/>
    <tableColumn id="3" xr3:uid="{B3A4D7E8-F146-4086-B453-953997DAAD94}" name="OT Hours" dataDxfId="55"/>
    <tableColumn id="4" xr3:uid="{6AE58ACB-A746-4D0A-BC5C-EBF0BE8DF522}" name="Total Hours"/>
    <tableColumn id="5" xr3:uid="{1C137BE3-160B-4FB8-8F73-1E1A72BECB2D}" name="Labor Cost" dataDxfId="54"/>
    <tableColumn id="6" xr3:uid="{5FE74E3E-F0EF-4433-ACED-46AAD65F8949}" name="Scaffold-ADD"/>
    <tableColumn id="7" xr3:uid="{CB38371D-5582-4D45-9B05-56700192F494}" name="3rd Party Cost" dataDxfId="53"/>
    <tableColumn id="8" xr3:uid="{4455DF1C-CFB3-41AD-B682-470EDE153A81}" name="In House Vehicles" dataDxfId="52"/>
    <tableColumn id="9" xr3:uid="{F23E0339-A1D9-4145-B153-DC619551FB83}" name="Scaffold" dataDxfId="51"/>
    <tableColumn id="10" xr3:uid="{C4E3F7BA-B06C-4EAF-98DC-A60EBEB26A13}" name="Company Equipment" dataDxfId="50"/>
    <tableColumn id="11" xr3:uid="{DBF724B1-6904-404C-9180-049CFA0F9EEE}" name="Material Cost" dataDxfId="49"/>
    <tableColumn id="12" xr3:uid="{3D82D424-6F5C-4054-9012-7B1EFE8D00DE}" name="Subcontract Cost" dataDxfId="48"/>
    <tableColumn id="13" xr3:uid="{65AC337E-C20F-4971-8D9F-3EC92A98C040}" name="Tools" dataDxfId="47"/>
    <tableColumn id="14" xr3:uid="{37CDCABF-A57B-4244-A768-A1DF1123CC9E}" name="Consumables" dataDxfId="46"/>
    <tableColumn id="15" xr3:uid="{379D6B74-6485-4C1E-AC4F-DBB99C212933}" name="Other Cost" dataDxfId="45"/>
    <tableColumn id="16" xr3:uid="{EE62488E-9A94-4ED3-B79E-E58DF50E31D8}" name="Other Revanue"/>
    <tableColumn id="17" xr3:uid="{E5DF8247-4253-430B-9498-209D0A48F141}" name="FICA"/>
    <tableColumn id="18" xr3:uid="{F16AA3CF-DAF6-48FA-AF62-30B68234F51E}" name="FUI"/>
    <tableColumn id="19" xr3:uid="{281D2E7A-0D73-4561-9EFC-7A45CB0B3993}" name="SUI"/>
    <tableColumn id="20" xr3:uid="{7CB6002A-4B4F-4B98-92F5-D41FDE66D992}" name="WC"/>
    <tableColumn id="21" xr3:uid="{572F2734-CEB0-4A59-8103-DB2F5D19948F}" name="Gen Liab"/>
    <tableColumn id="22" xr3:uid="{EFEAC13B-F6CE-4CE7-90B8-594DD1859768}" name="Umbr"/>
    <tableColumn id="23" xr3:uid="{46F82263-A9AC-4971-966F-CFB431B74BCF}" name="Pollution"/>
    <tableColumn id="24" xr3:uid="{225C99D1-E059-4F80-A8A4-629883CE2EEE}" name="Healt"/>
    <tableColumn id="25" xr3:uid="{CF1A3224-F0AA-4E8C-9D68-D9B566CC94AC}" name="Fringe"/>
    <tableColumn id="26" xr3:uid="{58053F6B-32A4-46EC-B363-0FB18CE8ECE8}" name="Small"/>
    <tableColumn id="27" xr3:uid="{07C112D4-CBCF-4B2F-82F1-4445872258FB}" name="PPE"/>
    <tableColumn id="28" xr3:uid="{331A3E0B-FC27-4C30-824F-1D1014DCB4BC}" name="Consumable"/>
    <tableColumn id="29" xr3:uid="{F83CC695-4E7A-407A-A407-50FD244F3EB7}" name="Overhead"/>
    <tableColumn id="30" xr3:uid="{FABA3576-AD12-4695-90C4-CDBC35B4CF32}" name="Profit"/>
    <tableColumn id="31" xr3:uid="{279E2844-5AE6-48A3-B830-5F6846884656}" name="FICA P"/>
    <tableColumn id="32" xr3:uid="{3F0F90C3-E877-4EFF-90BE-C65D0F20E8C6}" name="FUI P"/>
    <tableColumn id="33" xr3:uid="{D3894499-4A94-427F-83A1-3BE1D7CFE780}" name="SUI P"/>
    <tableColumn id="34" xr3:uid="{4C2E99B3-0D38-4F1F-81D3-38A8B4BDAB59}" name="WC P"/>
    <tableColumn id="35" xr3:uid="{7329223B-CEB1-462E-8BF4-8449E30DE940}" name="Gen Liab P"/>
    <tableColumn id="36" xr3:uid="{5079BA7A-C635-4190-ACE1-A585B1BCC3FF}" name="Umbr P"/>
    <tableColumn id="37" xr3:uid="{B697A466-4371-4222-9F51-E870FE866667}" name="Pollution P"/>
    <tableColumn id="38" xr3:uid="{BCC31244-E193-4FB8-9391-0473674D5F99}" name="Healt P"/>
    <tableColumn id="39" xr3:uid="{1FEC5269-A9EF-4F06-A876-E847EA353997}" name="Fringe P"/>
    <tableColumn id="40" xr3:uid="{EB1203EF-4BBE-47A0-8A47-E52C6E826D0A}" name="Small P"/>
    <tableColumn id="41" xr3:uid="{984BA335-9D49-4EC5-B39F-598063E72B85}" name="PPE P"/>
    <tableColumn id="42" xr3:uid="{FF446FCB-F070-4C46-803F-3BC4B7AD3762}" name="Consumable P"/>
    <tableColumn id="43" xr3:uid="{5D813A09-0A3F-492D-9834-BA9D1D4EBCD3}" name="Overhead P"/>
    <tableColumn id="44" xr3:uid="{CF8B7DF7-71D6-45CE-BD18-B2A46848D234}" name="Profit P"/>
  </tableColumns>
  <tableStyleInfo name="TableStyleMedium2" showFirstColumn="0" showLastColumn="0" showRowStripes="1" showColumnStripes="0"/>
</table>
</file>

<file path=xl/tables/table3.xml><?xml version="1.0" encoding="utf-8"?>
<table xmlns="http://schemas.openxmlformats.org/spreadsheetml/2006/main" xmlns:mc="http://schemas.openxmlformats.org/markup-compatibility/2006" xmlns:xr="http://schemas.microsoft.com/office/spreadsheetml/2014/revision" xmlns:xr3="http://schemas.microsoft.com/office/spreadsheetml/2016/revision3" mc:Ignorable="xr xr3" id="4" xr:uid="{37E7F84F-FC0D-4C6D-AEE2-0C0A82CF605E}" name="DataMaterialInfo" displayName="DataMaterialInfo" ref="A1:G11" totalsRowShown="0">
  <autoFilter ref="A1:G11" xr:uid="{37E7F84F-FC0D-4C6D-AEE2-0C0A82CF605E}"/>
  <tableColumns count="7">
    <tableColumn id="1" xr3:uid="{453CDF7D-A791-4B1D-AA56-A59D744F022B}" name="jobNo"/>
    <tableColumn id="2" xr3:uid="{8166E639-7A6B-401F-8232-AFB7727CDC11}" name="Code"/>
    <tableColumn id="3" xr3:uid="{1A3D4A20-FF8C-4D3E-A636-ABB1A3A5FCEB}" name="Material Name"/>
    <tableColumn id="4" xr3:uid="{B24E37A6-3589-4E18-9BB3-5A6C578DFD93}" name="Description"/>
    <tableColumn id="5" xr3:uid="{89641EA4-DC85-4487-A1F3-4C14A4486144}" name="Cost"/>
    <tableColumn id="6" xr3:uid="{9CA735D5-C6AF-46E5-A8B7-5811AE2072B1}" name="Date" dataDxfId="44"/>
    <tableColumn id="9" xr3:uid="{EE83BD2F-016B-4967-8BA3-49C2F0990718}" name="Type Material"/>
  </tableColumns>
  <tableStyleInfo name="TableStyleMedium2" showFirstColumn="0" showLastColumn="0" showRowStripes="1" showColumnStripes="0"/>
</table>
</file>

<file path=xl/theme/theme1.xml><?xml version="1.0" encoding="utf-8"?>
<a:theme xmlns:a="http://schemas.openxmlformats.org/drawingml/2006/main" name="Office Theme">
  <a:themeElements>
    <a:clrScheme name="Office">
      <a:dk1>
        <a:sysClr val="windowText" lastClr="000000"/>
      </a:dk1>
      <a:lt1>
        <a:sysClr val="window" lastClr="FFFFFF"/>
      </a:lt1>
      <a:dk2>
        <a:srgbClr val="44546A"/>
      </a:dk2>
      <a:lt2>
        <a:srgbClr val="E7E6E6"/>
      </a:lt2>
      <a:accent1>
        <a:srgbClr val="4472C4"/>
      </a:accent1>
      <a:accent2>
        <a:srgbClr val="ED7D31"/>
      </a:accent2>
      <a:accent3>
        <a:srgbClr val="A5A5A5"/>
      </a:accent3>
      <a:accent4>
        <a:srgbClr val="FFC000"/>
      </a:accent4>
      <a:accent5>
        <a:srgbClr val="5B9BD5"/>
      </a:accent5>
      <a:accent6>
        <a:srgbClr val="70AD47"/>
      </a:accent6>
      <a:hlink>
        <a:srgbClr val="0563C1"/>
      </a:hlink>
      <a:folHlink>
        <a:srgbClr val="954F72"/>
      </a:folHlink>
    </a:clrScheme>
    <a:fontScheme name="Office">
      <a:majorFont>
        <a:latin typeface="Calibri Light" panose="020F0302020204030204"/>
        <a:ea typeface=""/>
        <a:cs typeface=""/>
        <a:font script="Jpan" typeface="游ゴシック Light"/>
        <a:font script="Hang" typeface="맑은 고딕"/>
        <a:font script="Hans" typeface="等线 Light"/>
        <a:font script="Hant" typeface="新細明體"/>
        <a:font script="Arab" typeface="Times New Roman"/>
        <a:font script="Hebr" typeface="Times New Roman"/>
        <a:font script="Thai" typeface="Tahoma"/>
        <a:font script="Ethi" typeface="Nyala"/>
        <a:font script="Beng" typeface="Vrinda"/>
        <a:font script="Gujr" typeface="Shruti"/>
        <a:font script="Khmr" typeface="MoolBoran"/>
        <a:font script="Knda" typeface="Tunga"/>
        <a:font script="Guru" typeface="Raavi"/>
        <a:font script="Cans" typeface="Euphemia"/>
        <a:font script="Cher" typeface="Plantagenet Cherokee"/>
        <a:font script="Yiii" typeface="Microsoft Yi Baiti"/>
        <a:font script="Tibt" typeface="Microsoft Himalaya"/>
        <a:font script="Thaa" typeface="MV Boli"/>
        <a:font script="Deva" typeface="Mangal"/>
        <a:font script="Telu" typeface="Gautami"/>
        <a:font script="Taml" typeface="Latha"/>
        <a:font script="Syrc" typeface="Estrangelo Edessa"/>
        <a:font script="Orya" typeface="Kalinga"/>
        <a:font script="Mlym" typeface="Kartika"/>
        <a:font script="Laoo" typeface="DokChampa"/>
        <a:font script="Sinh" typeface="Iskoola Pota"/>
        <a:font script="Mong" typeface="Mongolian Baiti"/>
        <a:font script="Viet" typeface="Times New Roman"/>
        <a:font script="Uigh" typeface="Microsoft Uighur"/>
        <a:font script="Geor" typeface="Sylfaen"/>
        <a:font script="Armn" typeface="Arial"/>
        <a:font script="Bugi" typeface="Leelawadee UI"/>
        <a:font script="Bopo" typeface="Microsoft JhengHei"/>
        <a:font script="Java" typeface="Javanese Text"/>
        <a:font script="Lisu" typeface="Segoe UI"/>
        <a:font script="Mymr" typeface="Myanmar Text"/>
        <a:font script="Nkoo" typeface="Ebrima"/>
        <a:font script="Olck" typeface="Nirmala UI"/>
        <a:font script="Osma" typeface="Ebrima"/>
        <a:font script="Phag" typeface="Phagspa"/>
        <a:font script="Syrn" typeface="Estrangelo Edessa"/>
        <a:font script="Syrj" typeface="Estrangelo Edessa"/>
        <a:font script="Syre" typeface="Estrangelo Edessa"/>
        <a:font script="Sora" typeface="Nirmala UI"/>
        <a:font script="Tale" typeface="Microsoft Tai Le"/>
        <a:font script="Talu" typeface="Microsoft New Tai Lue"/>
        <a:font script="Tfng" typeface="Ebrima"/>
      </a:majorFont>
      <a:minorFont>
        <a:latin typeface="Calibri" panose="020F0502020204030204"/>
        <a:ea typeface=""/>
        <a:cs typeface=""/>
        <a:font script="Jpan" typeface="游ゴシック"/>
        <a:font script="Hang" typeface="맑은 고딕"/>
        <a:font script="Hans" typeface="等线"/>
        <a:font script="Hant" typeface="新細明體"/>
        <a:font script="Arab" typeface="Arial"/>
        <a:font script="Hebr" typeface="Arial"/>
        <a:font script="Thai" typeface="Tahoma"/>
        <a:font script="Ethi" typeface="Nyala"/>
        <a:font script="Beng" typeface="Vrinda"/>
        <a:font script="Gujr" typeface="Shruti"/>
        <a:font script="Khmr" typeface="DaunPenh"/>
        <a:font script="Knda" typeface="Tunga"/>
        <a:font script="Guru" typeface="Raavi"/>
        <a:font script="Cans" typeface="Euphemia"/>
        <a:font script="Cher" typeface="Plantagenet Cherokee"/>
        <a:font script="Yiii" typeface="Microsoft Yi Baiti"/>
        <a:font script="Tibt" typeface="Microsoft Himalaya"/>
        <a:font script="Thaa" typeface="MV Boli"/>
        <a:font script="Deva" typeface="Mangal"/>
        <a:font script="Telu" typeface="Gautami"/>
        <a:font script="Taml" typeface="Latha"/>
        <a:font script="Syrc" typeface="Estrangelo Edessa"/>
        <a:font script="Orya" typeface="Kalinga"/>
        <a:font script="Mlym" typeface="Kartika"/>
        <a:font script="Laoo" typeface="DokChampa"/>
        <a:font script="Sinh" typeface="Iskoola Pota"/>
        <a:font script="Mong" typeface="Mongolian Baiti"/>
        <a:font script="Viet" typeface="Arial"/>
        <a:font script="Uigh" typeface="Microsoft Uighur"/>
        <a:font script="Geor" typeface="Sylfaen"/>
        <a:font script="Armn" typeface="Arial"/>
        <a:font script="Bugi" typeface="Leelawadee UI"/>
        <a:font script="Bopo" typeface="Microsoft JhengHei"/>
        <a:font script="Java" typeface="Javanese Text"/>
        <a:font script="Lisu" typeface="Segoe UI"/>
        <a:font script="Mymr" typeface="Myanmar Text"/>
        <a:font script="Nkoo" typeface="Ebrima"/>
        <a:font script="Olck" typeface="Nirmala UI"/>
        <a:font script="Osma" typeface="Ebrima"/>
        <a:font script="Phag" typeface="Phagspa"/>
        <a:font script="Syrn" typeface="Estrangelo Edessa"/>
        <a:font script="Syrj" typeface="Estrangelo Edessa"/>
        <a:font script="Syre" typeface="Estrangelo Edessa"/>
        <a:font script="Sora" typeface="Nirmala UI"/>
        <a:font script="Tale" typeface="Microsoft Tai Le"/>
        <a:font script="Talu" typeface="Microsoft New Tai Lue"/>
        <a:font script="Tfng" typeface="Ebrima"/>
      </a:minorFont>
    </a:fontScheme>
    <a:fmtScheme name="Office">
      <a:fillStyleLst>
        <a:solidFill>
          <a:schemeClr val="phClr"/>
        </a:solidFill>
        <a:gradFill rotWithShape="1">
          <a:gsLst>
            <a:gs pos="0">
              <a:schemeClr val="phClr">
                <a:lumMod val="110000"/>
                <a:satMod val="105000"/>
                <a:tint val="67000"/>
              </a:schemeClr>
            </a:gs>
            <a:gs pos="50000">
              <a:schemeClr val="phClr">
                <a:lumMod val="105000"/>
                <a:satMod val="103000"/>
                <a:tint val="73000"/>
              </a:schemeClr>
            </a:gs>
            <a:gs pos="100000">
              <a:schemeClr val="phClr">
                <a:lumMod val="105000"/>
                <a:satMod val="109000"/>
                <a:tint val="81000"/>
              </a:schemeClr>
            </a:gs>
          </a:gsLst>
          <a:lin ang="5400000" scaled="0"/>
        </a:gradFill>
        <a:gradFill rotWithShape="1">
          <a:gsLst>
            <a:gs pos="0">
              <a:schemeClr val="phClr">
                <a:satMod val="103000"/>
                <a:lumMod val="102000"/>
                <a:tint val="94000"/>
              </a:schemeClr>
            </a:gs>
            <a:gs pos="50000">
              <a:schemeClr val="phClr">
                <a:satMod val="110000"/>
                <a:lumMod val="100000"/>
                <a:shade val="100000"/>
              </a:schemeClr>
            </a:gs>
            <a:gs pos="100000">
              <a:schemeClr val="phClr">
                <a:lumMod val="99000"/>
                <a:satMod val="120000"/>
                <a:shade val="78000"/>
              </a:schemeClr>
            </a:gs>
          </a:gsLst>
          <a:lin ang="5400000" scaled="0"/>
        </a:gradFill>
      </a:fillStyleLst>
      <a:lnStyleLst>
        <a:ln w="6350" cap="flat" cmpd="sng" algn="ctr">
          <a:solidFill>
            <a:schemeClr val="phClr"/>
          </a:solidFill>
          <a:prstDash val="solid"/>
          <a:miter lim="800000"/>
        </a:ln>
        <a:ln w="12700" cap="flat" cmpd="sng" algn="ctr">
          <a:solidFill>
            <a:schemeClr val="phClr"/>
          </a:solidFill>
          <a:prstDash val="solid"/>
          <a:miter lim="800000"/>
        </a:ln>
        <a:ln w="19050" cap="flat" cmpd="sng" algn="ctr">
          <a:solidFill>
            <a:schemeClr val="phClr"/>
          </a:solidFill>
          <a:prstDash val="solid"/>
          <a:miter lim="800000"/>
        </a:ln>
      </a:lnStyleLst>
      <a:effectStyleLst>
        <a:effectStyle>
          <a:effectLst/>
        </a:effectStyle>
        <a:effectStyle>
          <a:effectLst/>
        </a:effectStyle>
        <a:effectStyle>
          <a:effectLst>
            <a:outerShdw blurRad="57150" dist="19050" dir="5400000" algn="ctr" rotWithShape="0">
              <a:srgbClr val="000000">
                <a:alpha val="63000"/>
              </a:srgbClr>
            </a:outerShdw>
          </a:effectLst>
        </a:effectStyle>
      </a:effectStyleLst>
      <a:bgFillStyleLst>
        <a:solidFill>
          <a:schemeClr val="phClr"/>
        </a:solidFill>
        <a:solidFill>
          <a:schemeClr val="phClr">
            <a:tint val="95000"/>
            <a:satMod val="170000"/>
          </a:schemeClr>
        </a:solidFill>
        <a:gradFill rotWithShape="1">
          <a:gsLst>
            <a:gs pos="0">
              <a:schemeClr val="phClr">
                <a:tint val="93000"/>
                <a:satMod val="150000"/>
                <a:shade val="98000"/>
                <a:lumMod val="102000"/>
              </a:schemeClr>
            </a:gs>
            <a:gs pos="50000">
              <a:schemeClr val="phClr">
                <a:tint val="98000"/>
                <a:satMod val="130000"/>
                <a:shade val="90000"/>
                <a:lumMod val="103000"/>
              </a:schemeClr>
            </a:gs>
            <a:gs pos="100000">
              <a:schemeClr val="phClr">
                <a:shade val="63000"/>
                <a:satMod val="120000"/>
              </a:schemeClr>
            </a:gs>
          </a:gsLst>
          <a:lin ang="5400000" scaled="0"/>
        </a:gradFill>
      </a:bgFillStyleLst>
    </a:fmtScheme>
  </a:themeElements>
  <a:objectDefaults/>
  <a:extraClrSchemeLst/>
  <a:extLst>
    <a:ext uri="{05A4C25C-085E-4340-85A3-A5531E510DB2}">
      <thm15:themeFamily xmlns:thm15="http://schemas.microsoft.com/office/thememl/2012/main" name="Office Theme" id="{62F939B6-93AF-4DB8-9C6B-D6C7DFDC589F}" vid="{4A3C46E8-61CC-4603-A589-7422A47A8E4A}"/>
    </a:ext>
  </a:extLst>
</a:theme>
</file>

<file path=xl/worksheets/_rels/sheet1.xml.rels><?xml version="1.0" encoding="UTF-8" standalone="yes"?>
<Relationships xmlns="http://schemas.openxmlformats.org/package/2006/relationships"><Relationship Id="rId3" Type="http://schemas.openxmlformats.org/officeDocument/2006/relationships/vmlDrawing" Target="../drawings/vmlDrawing1.vml"/><Relationship Id="rId2" Type="http://schemas.openxmlformats.org/officeDocument/2006/relationships/drawing" Target="../drawings/drawing1.xml"/><Relationship Id="rId1" Type="http://schemas.openxmlformats.org/officeDocument/2006/relationships/printerSettings" Target="../printerSettings/printerSettings1.bin"/><Relationship Id="rId4" Type="http://schemas.openxmlformats.org/officeDocument/2006/relationships/comments" Target="../comments1.xml"/></Relationships>
</file>

<file path=xl/worksheets/_rels/sheet2.xml.rels><?xml version="1.0" encoding="UTF-8" standalone="yes"?>
<Relationships xmlns="http://schemas.openxmlformats.org/package/2006/relationships"><Relationship Id="rId2" Type="http://schemas.openxmlformats.org/officeDocument/2006/relationships/table" Target="../tables/table1.xml"/><Relationship Id="rId1" Type="http://schemas.openxmlformats.org/officeDocument/2006/relationships/printerSettings" Target="../printerSettings/printerSettings2.bin"/></Relationships>
</file>

<file path=xl/worksheets/_rels/sheet3.xml.rels><?xml version="1.0" encoding="UTF-8" standalone="yes"?>
<Relationships xmlns="http://schemas.openxmlformats.org/package/2006/relationships"><Relationship Id="rId3" Type="http://schemas.openxmlformats.org/officeDocument/2006/relationships/vmlDrawing" Target="../drawings/vmlDrawing2.vml"/><Relationship Id="rId2" Type="http://schemas.openxmlformats.org/officeDocument/2006/relationships/drawing" Target="../drawings/drawing2.xml"/><Relationship Id="rId1" Type="http://schemas.openxmlformats.org/officeDocument/2006/relationships/printerSettings" Target="../printerSettings/printerSettings3.bin"/><Relationship Id="rId4" Type="http://schemas.openxmlformats.org/officeDocument/2006/relationships/comments" Target="../comments2.xml"/></Relationships>
</file>

<file path=xl/worksheets/_rels/sheet4.xml.rels><?xml version="1.0" encoding="UTF-8" standalone="yes"?>
<Relationships xmlns="http://schemas.openxmlformats.org/package/2006/relationships"><Relationship Id="rId2" Type="http://schemas.openxmlformats.org/officeDocument/2006/relationships/table" Target="../tables/table2.xml"/><Relationship Id="rId1" Type="http://schemas.openxmlformats.org/officeDocument/2006/relationships/printerSettings" Target="../printerSettings/printerSettings4.bin"/></Relationships>
</file>

<file path=xl/worksheets/_rels/sheet5.xml.rels><?xml version="1.0" encoding="UTF-8" standalone="yes"?>
<Relationships xmlns="http://schemas.openxmlformats.org/package/2006/relationships"><Relationship Id="rId2" Type="http://schemas.openxmlformats.org/officeDocument/2006/relationships/table" Target="../tables/table3.xml"/><Relationship Id="rId1" Type="http://schemas.openxmlformats.org/officeDocument/2006/relationships/printerSettings" Target="../printerSettings/printerSettings5.bin"/></Relationships>
</file>

<file path=xl/worksheets/sheet1.xml><?xml version="1.0" encoding="utf-8"?>
<worksheet xmlns="http://schemas.openxmlformats.org/spreadsheetml/2006/main" xmlns:r="http://schemas.openxmlformats.org/officeDocument/2006/relationships" xmlns:xdr="http://schemas.openxmlformats.org/drawingml/2006/spreadsheetDrawing" xmlns:x14="http://schemas.microsoft.com/office/spreadsheetml/2009/9/main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9CC07201-B509-4F0E-A156-10E374CFFB30}">
  <sheetPr codeName="Sheet126">
    <pageSetUpPr fitToPage="1"/>
  </sheetPr>
  <dimension ref="A1:R294"/>
  <sheetViews>
    <sheetView tabSelected="1" zoomScale="85" zoomScaleNormal="85" workbookViewId="0">
      <pane xSplit="2" ySplit="4" topLeftCell="C38" activePane="bottomRight" state="frozen"/>
      <selection activeCell="D9" sqref="D9"/>
      <selection pane="topRight" activeCell="D9" sqref="D9"/>
      <selection pane="bottomLeft" activeCell="D9" sqref="D9"/>
      <selection pane="bottomRight" activeCell="F43" sqref="F43"/>
    </sheetView>
  </sheetViews>
  <sheetFormatPr defaultColWidth="9.140625" defaultRowHeight="15" outlineLevelCol="1" x14ac:dyDescent="0.25"/>
  <cols>
    <col min="1" max="1" width="16.5703125" style="29" customWidth="1"/>
    <col min="2" max="2" width="33.42578125" style="29" customWidth="1"/>
    <col min="3" max="3" width="17.85546875" style="29" bestFit="1" customWidth="1"/>
    <col min="4" max="4" width="16.42578125" style="29" customWidth="1"/>
    <col min="5" max="5" width="17.28515625" style="29" customWidth="1"/>
    <col min="6" max="6" width="20.28515625" style="29" customWidth="1"/>
    <col min="7" max="7" width="21.5703125" style="29" customWidth="1"/>
    <col min="8" max="8" width="20.140625" style="29" customWidth="1"/>
    <col min="9" max="9" width="19.140625" style="29" customWidth="1"/>
    <col min="10" max="10" width="17.42578125" style="29" customWidth="1"/>
    <col min="11" max="11" width="27.42578125" style="29" customWidth="1" outlineLevel="1"/>
    <col min="12" max="12" width="25.42578125" style="29" customWidth="1" outlineLevel="1"/>
    <col min="13" max="13" width="23.42578125" style="29" customWidth="1" outlineLevel="1"/>
    <col min="14" max="14" width="18" style="29" customWidth="1" outlineLevel="1"/>
    <col min="15" max="15" width="17.42578125" style="29" customWidth="1" outlineLevel="1"/>
    <col min="16" max="16" width="106.5703125" style="29" customWidth="1"/>
    <col min="17" max="16384" width="9.140625" style="29"/>
  </cols>
  <sheetData>
    <row r="1" spans="1:18" ht="36.75" customHeight="1" thickBot="1" x14ac:dyDescent="0.3">
      <c r="A1" s="25"/>
      <c r="B1" s="441"/>
      <c r="C1" s="441"/>
      <c r="D1" s="26" t="s">
        <v>44</v>
      </c>
      <c r="E1" s="27" t="str">
        <f>IF(AND(A2&lt;&gt;"*",F1),"Contract Break-Down Included", "")</f>
        <v/>
      </c>
      <c r="F1" s="1"/>
      <c r="G1" s="442"/>
      <c r="H1" s="442"/>
      <c r="I1" s="2"/>
      <c r="J1" s="2"/>
      <c r="K1" s="3"/>
      <c r="L1" s="3"/>
      <c r="M1" s="2"/>
      <c r="N1" s="4" t="b">
        <v>1</v>
      </c>
      <c r="O1" s="28"/>
    </row>
    <row r="2" spans="1:18" ht="30" customHeight="1" thickBot="1" x14ac:dyDescent="0.3">
      <c r="A2" s="30" t="s">
        <v>45</v>
      </c>
      <c r="B2" s="443" t="s">
        <v>108</v>
      </c>
      <c r="C2" s="444"/>
      <c r="D2" s="444"/>
      <c r="E2" s="445"/>
      <c r="F2" s="446"/>
      <c r="G2" s="447" t="s">
        <v>0</v>
      </c>
      <c r="H2" s="448"/>
      <c r="I2" s="449"/>
      <c r="J2" s="31" t="str">
        <f>IF(I1,"Over/Under
WIP Variance","")</f>
        <v/>
      </c>
      <c r="K2" s="462" t="s">
        <v>1</v>
      </c>
      <c r="L2" s="463"/>
      <c r="M2" s="450" t="s">
        <v>2</v>
      </c>
      <c r="N2" s="451"/>
      <c r="O2" s="452"/>
      <c r="P2" s="32"/>
      <c r="Q2" s="33"/>
      <c r="R2" s="33"/>
    </row>
    <row r="3" spans="1:18" ht="25.35" customHeight="1" thickBot="1" x14ac:dyDescent="0.3">
      <c r="A3" s="5"/>
      <c r="B3" s="22">
        <v>56403200</v>
      </c>
      <c r="C3" s="34"/>
      <c r="D3" s="34"/>
      <c r="E3" s="35" t="e">
        <v>#REF!</v>
      </c>
      <c r="F3" s="35"/>
      <c r="G3" s="36">
        <f>$G$5/$E$5</f>
        <v>1</v>
      </c>
      <c r="H3" s="37">
        <v>0</v>
      </c>
      <c r="I3" s="38">
        <f>H3-G3</f>
        <v>-1</v>
      </c>
      <c r="J3" s="39" t="s">
        <v>44</v>
      </c>
      <c r="K3" s="40" t="e">
        <v>#REF!</v>
      </c>
      <c r="L3" s="41" t="e">
        <v>#REF!</v>
      </c>
      <c r="M3" s="42" t="e">
        <f>$L$5/$K$3</f>
        <v>#REF!</v>
      </c>
      <c r="N3" s="43">
        <v>0</v>
      </c>
      <c r="O3" s="6" t="e">
        <f>N3-M3</f>
        <v>#REF!</v>
      </c>
      <c r="P3" s="7"/>
      <c r="Q3" s="33"/>
      <c r="R3" s="33"/>
    </row>
    <row r="4" spans="1:18" ht="19.5" thickBot="1" x14ac:dyDescent="0.3">
      <c r="A4" s="44" t="s">
        <v>3</v>
      </c>
      <c r="B4" s="45" t="s">
        <v>4</v>
      </c>
      <c r="C4" s="46" t="s">
        <v>5</v>
      </c>
      <c r="D4" s="46" t="s">
        <v>6</v>
      </c>
      <c r="E4" s="47" t="s">
        <v>7</v>
      </c>
      <c r="F4" s="47" t="s">
        <v>8</v>
      </c>
      <c r="G4" s="45" t="s">
        <v>9</v>
      </c>
      <c r="H4" s="45" t="s">
        <v>10</v>
      </c>
      <c r="I4" s="48" t="s">
        <v>11</v>
      </c>
      <c r="J4" s="49" t="s">
        <v>12</v>
      </c>
      <c r="K4" s="50" t="s">
        <v>13</v>
      </c>
      <c r="L4" s="51" t="s">
        <v>14</v>
      </c>
      <c r="M4" s="51" t="s">
        <v>15</v>
      </c>
      <c r="N4" s="51" t="s">
        <v>16</v>
      </c>
      <c r="O4" s="51" t="s">
        <v>10</v>
      </c>
      <c r="P4" s="52" t="s">
        <v>17</v>
      </c>
    </row>
    <row r="5" spans="1:18" s="62" customFormat="1" ht="26.1" customHeight="1" x14ac:dyDescent="0.25">
      <c r="A5" s="453" t="s">
        <v>18</v>
      </c>
      <c r="B5" s="53" t="s">
        <v>18</v>
      </c>
      <c r="C5" s="292">
        <f>VLOOKUP(B3,DataInfo[[jobNo]:[ST Hours]],2,0)</f>
        <v>1797</v>
      </c>
      <c r="D5" s="292">
        <f>VLOOKUP(B3,DataInfo[[jobNo]:[OT Hours]],3,0)</f>
        <v>593</v>
      </c>
      <c r="E5" s="293">
        <f>VLOOKUP(B3,DataInfo[[jobNo]:[Total Hours]],4,0)</f>
        <v>2390</v>
      </c>
      <c r="F5" s="283">
        <f>VLOOKUP(B3,DataInfo[[jobNo]:[Labor Cost]],5,0)</f>
        <v>110726.3</v>
      </c>
      <c r="G5" s="284">
        <f>VLOOKUP(B3,DataInfo[[jobNo]:[Total Hours]],4,0)</f>
        <v>2390</v>
      </c>
      <c r="H5" s="54">
        <f>IFERROR(F5-G5,0)</f>
        <v>108336.3</v>
      </c>
      <c r="I5" s="55">
        <f>IFERROR(H5/$E$5,0)</f>
        <v>45.328995815899582</v>
      </c>
      <c r="J5" s="56"/>
      <c r="K5" s="57">
        <f>F5</f>
        <v>110726.3</v>
      </c>
      <c r="L5" s="58">
        <f>G5</f>
        <v>2390</v>
      </c>
      <c r="M5" s="59">
        <f>IFERROR(K5-L5,0)</f>
        <v>108336.3</v>
      </c>
      <c r="N5" s="60">
        <f>IFERROR(M5/$E$3,0)</f>
        <v>0</v>
      </c>
      <c r="O5" s="61"/>
      <c r="P5" s="8"/>
    </row>
    <row r="6" spans="1:18" ht="26.1" customHeight="1" x14ac:dyDescent="0.25">
      <c r="A6" s="454"/>
      <c r="B6" s="63" t="s">
        <v>58</v>
      </c>
      <c r="C6" s="394">
        <f>HLOOKUP(B6,DataInfo[#All], MATCH(B3,DataInfo[jobNo],0)+1,FALSE)</f>
        <v>7.65</v>
      </c>
      <c r="D6" s="394">
        <f>HLOOKUP("FICA P",DataInfo[#All], MATCH(B3,DataInfo[jobNo],0)+1,FALSE)</f>
        <v>7.65</v>
      </c>
      <c r="E6" s="64"/>
      <c r="F6" s="9">
        <f>(C6*$C$5)+(D6*$D$5)</f>
        <v>18283.5</v>
      </c>
      <c r="G6" s="65"/>
      <c r="H6" s="66">
        <f t="shared" ref="H6:H26" si="0">IFERROR(F6-G6,0)</f>
        <v>18283.5</v>
      </c>
      <c r="I6" s="67">
        <f t="shared" ref="I6:I25" si="1">IFERROR(H6/$E$26,0)</f>
        <v>7.65</v>
      </c>
      <c r="J6" s="68" t="e">
        <v>#REF!</v>
      </c>
      <c r="K6" s="69">
        <f>F6</f>
        <v>18283.5</v>
      </c>
      <c r="L6" s="70">
        <f>G6</f>
        <v>0</v>
      </c>
      <c r="M6" s="71">
        <f>IFERROR(K6-L6,0)</f>
        <v>18283.5</v>
      </c>
      <c r="N6" s="72">
        <f>IFERROR(M6/$E$3,0)</f>
        <v>0</v>
      </c>
      <c r="O6" s="73"/>
      <c r="P6" s="10"/>
    </row>
    <row r="7" spans="1:18" ht="26.1" customHeight="1" x14ac:dyDescent="0.25">
      <c r="A7" s="454"/>
      <c r="B7" s="63" t="s">
        <v>59</v>
      </c>
      <c r="C7" s="394">
        <f>HLOOKUP(B7,DataInfo[#All], MATCH(B3,DataInfo[jobNo],0)+1,FALSE)</f>
        <v>0.6</v>
      </c>
      <c r="D7" s="394">
        <f>HLOOKUP("FUI P",DataInfo[#All], MATCH(B3,DataInfo[jobNo],0)+1,FALSE)</f>
        <v>0.6</v>
      </c>
      <c r="E7" s="74"/>
      <c r="F7" s="9">
        <f>(C7*$C$5)+(D7*$D$5)</f>
        <v>1434</v>
      </c>
      <c r="G7" s="65"/>
      <c r="H7" s="66">
        <f>IFERROR(F7-G7,0)</f>
        <v>1434</v>
      </c>
      <c r="I7" s="67">
        <f>IFERROR(H7/$E$26,0)</f>
        <v>0.6</v>
      </c>
      <c r="J7" s="75"/>
      <c r="K7" s="69">
        <f>F7</f>
        <v>1434</v>
      </c>
      <c r="L7" s="70">
        <f t="shared" ref="L7:L25" si="2">G7</f>
        <v>0</v>
      </c>
      <c r="M7" s="71">
        <f>IFERROR(K7-L7,0)</f>
        <v>1434</v>
      </c>
      <c r="N7" s="72">
        <f t="shared" ref="N7:N25" si="3">IFERROR(M7/$E$3,0)</f>
        <v>0</v>
      </c>
      <c r="O7" s="73"/>
      <c r="P7" s="10"/>
    </row>
    <row r="8" spans="1:18" ht="26.1" customHeight="1" x14ac:dyDescent="0.25">
      <c r="A8" s="454"/>
      <c r="B8" s="63" t="s">
        <v>60</v>
      </c>
      <c r="C8" s="394">
        <f>HLOOKUP(B8,DataInfo[#All], MATCH(B3,DataInfo[jobNo],0)+1,FALSE)</f>
        <v>6.88</v>
      </c>
      <c r="D8" s="394">
        <f>HLOOKUP("SUI P",DataInfo[#All], MATCH(B3,DataInfo[jobNo],0)+1,FALSE)</f>
        <v>6.88</v>
      </c>
      <c r="E8" s="76"/>
      <c r="F8" s="9">
        <f>(C8*$C$5)+(D8*$D$5)</f>
        <v>16443.2</v>
      </c>
      <c r="G8" s="65"/>
      <c r="H8" s="66">
        <f>IFERROR(F8-G8,0)</f>
        <v>16443.2</v>
      </c>
      <c r="I8" s="67">
        <f t="shared" si="1"/>
        <v>6.88</v>
      </c>
      <c r="J8" s="75"/>
      <c r="K8" s="69">
        <f t="shared" ref="K8:K25" si="4">F8</f>
        <v>16443.2</v>
      </c>
      <c r="L8" s="70">
        <f t="shared" si="2"/>
        <v>0</v>
      </c>
      <c r="M8" s="71">
        <f t="shared" ref="M8:M25" si="5">IFERROR(K8-L8,0)</f>
        <v>16443.2</v>
      </c>
      <c r="N8" s="72">
        <f t="shared" si="3"/>
        <v>0</v>
      </c>
      <c r="O8" s="73"/>
      <c r="P8" s="10"/>
    </row>
    <row r="9" spans="1:18" ht="30.75" customHeight="1" x14ac:dyDescent="0.25">
      <c r="A9" s="454"/>
      <c r="B9" s="77" t="s">
        <v>61</v>
      </c>
      <c r="C9" s="394">
        <f>HLOOKUP(B9,DataInfo[#All], MATCH(B3,DataInfo[jobNo],0)+1,FALSE)</f>
        <v>9.1</v>
      </c>
      <c r="D9" s="394">
        <f>HLOOKUP("WC P",DataInfo[#All], MATCH(B3,DataInfo[jobNo],0)+1,FALSE)</f>
        <v>9.1</v>
      </c>
      <c r="E9" s="76"/>
      <c r="F9" s="9">
        <f>(C9*$C$5)+(D9*$D$5)</f>
        <v>21749</v>
      </c>
      <c r="G9" s="65"/>
      <c r="H9" s="66">
        <f>IFERROR(F9-G9,0)</f>
        <v>21749</v>
      </c>
      <c r="I9" s="67">
        <f t="shared" si="1"/>
        <v>9.1</v>
      </c>
      <c r="J9" s="75"/>
      <c r="K9" s="69">
        <f t="shared" si="4"/>
        <v>21749</v>
      </c>
      <c r="L9" s="70">
        <f t="shared" si="2"/>
        <v>0</v>
      </c>
      <c r="M9" s="71">
        <f t="shared" si="5"/>
        <v>21749</v>
      </c>
      <c r="N9" s="72">
        <f t="shared" si="3"/>
        <v>0</v>
      </c>
      <c r="O9" s="73"/>
      <c r="P9" s="10"/>
    </row>
    <row r="10" spans="1:18" ht="26.1" customHeight="1" x14ac:dyDescent="0.25">
      <c r="A10" s="454"/>
      <c r="B10" s="77" t="s">
        <v>62</v>
      </c>
      <c r="C10" s="394">
        <f>HLOOKUP(B10,DataInfo[#All], MATCH(B3,DataInfo[jobNo],0)+1,FALSE)</f>
        <v>1.26</v>
      </c>
      <c r="D10" s="394">
        <f>HLOOKUP("Gen Liab P",DataInfo[#All], MATCH(B3,DataInfo[jobNo],0)+1,FALSE)</f>
        <v>1.26</v>
      </c>
      <c r="E10" s="76"/>
      <c r="F10" s="9">
        <f>(C10*$C$5)+(D10*$D$5)</f>
        <v>3011.3999999999996</v>
      </c>
      <c r="G10" s="65"/>
      <c r="H10" s="66">
        <f>IFERROR(F10-G10,0)</f>
        <v>3011.3999999999996</v>
      </c>
      <c r="I10" s="67">
        <f t="shared" si="1"/>
        <v>1.2599999999999998</v>
      </c>
      <c r="J10" s="75"/>
      <c r="K10" s="69">
        <f t="shared" si="4"/>
        <v>3011.3999999999996</v>
      </c>
      <c r="L10" s="70">
        <f t="shared" si="2"/>
        <v>0</v>
      </c>
      <c r="M10" s="71">
        <f t="shared" si="5"/>
        <v>3011.3999999999996</v>
      </c>
      <c r="N10" s="72">
        <f t="shared" si="3"/>
        <v>0</v>
      </c>
      <c r="O10" s="73"/>
      <c r="P10" s="10"/>
    </row>
    <row r="11" spans="1:18" ht="26.1" customHeight="1" x14ac:dyDescent="0.25">
      <c r="A11" s="454"/>
      <c r="B11" s="63" t="s">
        <v>63</v>
      </c>
      <c r="C11" s="394">
        <f>HLOOKUP(B11,DataInfo[#All], MATCH(B3,DataInfo[jobNo],0)+1,FALSE)</f>
        <v>0.93</v>
      </c>
      <c r="D11" s="394">
        <f>HLOOKUP("Umbr P",DataInfo[#All], MATCH(B3,DataInfo[jobNo],0)+1,FALSE)</f>
        <v>0.93</v>
      </c>
      <c r="E11" s="76"/>
      <c r="F11" s="9">
        <f t="shared" ref="F11:F25" si="6">(C11*$C$5)+(D11*$D$5)</f>
        <v>2222.6999999999998</v>
      </c>
      <c r="G11" s="65"/>
      <c r="H11" s="66">
        <f t="shared" si="0"/>
        <v>2222.6999999999998</v>
      </c>
      <c r="I11" s="67">
        <f t="shared" si="1"/>
        <v>0.92999999999999994</v>
      </c>
      <c r="J11" s="75"/>
      <c r="K11" s="69">
        <f t="shared" si="4"/>
        <v>2222.6999999999998</v>
      </c>
      <c r="L11" s="70">
        <f t="shared" si="2"/>
        <v>0</v>
      </c>
      <c r="M11" s="71">
        <f t="shared" si="5"/>
        <v>2222.6999999999998</v>
      </c>
      <c r="N11" s="72">
        <f t="shared" si="3"/>
        <v>0</v>
      </c>
      <c r="O11" s="73"/>
      <c r="P11" s="10"/>
    </row>
    <row r="12" spans="1:18" ht="26.1" customHeight="1" x14ac:dyDescent="0.25">
      <c r="A12" s="454"/>
      <c r="B12" s="63" t="s">
        <v>64</v>
      </c>
      <c r="C12" s="394">
        <f>HLOOKUP(B12,DataInfo[#All], MATCH(B3,DataInfo[jobNo],0)+1,FALSE)</f>
        <v>0.09</v>
      </c>
      <c r="D12" s="394">
        <f>HLOOKUP("Pollution P",DataInfo[#All], MATCH(B3,DataInfo[jobNo],0)+1,FALSE)</f>
        <v>0.09</v>
      </c>
      <c r="E12" s="76"/>
      <c r="F12" s="9">
        <f t="shared" si="6"/>
        <v>215.1</v>
      </c>
      <c r="G12" s="65"/>
      <c r="H12" s="66">
        <f t="shared" si="0"/>
        <v>215.1</v>
      </c>
      <c r="I12" s="67">
        <f t="shared" si="1"/>
        <v>0.09</v>
      </c>
      <c r="J12" s="75"/>
      <c r="K12" s="69">
        <f t="shared" si="4"/>
        <v>215.1</v>
      </c>
      <c r="L12" s="70">
        <f t="shared" si="2"/>
        <v>0</v>
      </c>
      <c r="M12" s="71">
        <f t="shared" si="5"/>
        <v>215.1</v>
      </c>
      <c r="N12" s="72">
        <f t="shared" si="3"/>
        <v>0</v>
      </c>
      <c r="O12" s="73"/>
      <c r="P12" s="10"/>
    </row>
    <row r="13" spans="1:18" ht="26.1" customHeight="1" x14ac:dyDescent="0.25">
      <c r="A13" s="454"/>
      <c r="B13" s="63" t="s">
        <v>65</v>
      </c>
      <c r="C13" s="394">
        <f>HLOOKUP(B13,DataInfo[#All], MATCH(B3,DataInfo[jobNo],0)+1,FALSE)</f>
        <v>3.5</v>
      </c>
      <c r="D13" s="394">
        <f>HLOOKUP("Healt P",DataInfo[#All], MATCH(B3,DataInfo[jobNo],0)+1,FALSE)</f>
        <v>3.5</v>
      </c>
      <c r="E13" s="76" t="s">
        <v>19</v>
      </c>
      <c r="F13" s="9">
        <f t="shared" si="6"/>
        <v>8365</v>
      </c>
      <c r="G13" s="65"/>
      <c r="H13" s="66">
        <f t="shared" si="0"/>
        <v>8365</v>
      </c>
      <c r="I13" s="67">
        <f t="shared" si="1"/>
        <v>3.5</v>
      </c>
      <c r="J13" s="75"/>
      <c r="K13" s="69">
        <f t="shared" si="4"/>
        <v>8365</v>
      </c>
      <c r="L13" s="70">
        <f t="shared" si="2"/>
        <v>0</v>
      </c>
      <c r="M13" s="71">
        <f t="shared" si="5"/>
        <v>8365</v>
      </c>
      <c r="N13" s="72">
        <f t="shared" si="3"/>
        <v>0</v>
      </c>
      <c r="O13" s="73"/>
      <c r="P13" s="10"/>
    </row>
    <row r="14" spans="1:18" ht="26.1" customHeight="1" x14ac:dyDescent="0.25">
      <c r="A14" s="454"/>
      <c r="B14" s="63" t="s">
        <v>66</v>
      </c>
      <c r="C14" s="394">
        <f>HLOOKUP(B14,DataInfo[#All], MATCH(B3,DataInfo[jobNo],0)+1,FALSE)</f>
        <v>1</v>
      </c>
      <c r="D14" s="394">
        <f>HLOOKUP("Fringe P",DataInfo[#All], MATCH(B3,DataInfo[jobNo],0)+1,FALSE)</f>
        <v>1</v>
      </c>
      <c r="E14" s="78"/>
      <c r="F14" s="9">
        <f t="shared" si="6"/>
        <v>2390</v>
      </c>
      <c r="G14" s="65"/>
      <c r="H14" s="66">
        <f t="shared" si="0"/>
        <v>2390</v>
      </c>
      <c r="I14" s="67">
        <f t="shared" si="1"/>
        <v>1</v>
      </c>
      <c r="J14" s="75"/>
      <c r="K14" s="69">
        <f t="shared" si="4"/>
        <v>2390</v>
      </c>
      <c r="L14" s="70">
        <f t="shared" si="2"/>
        <v>0</v>
      </c>
      <c r="M14" s="71">
        <f t="shared" si="5"/>
        <v>2390</v>
      </c>
      <c r="N14" s="72">
        <f t="shared" si="3"/>
        <v>0</v>
      </c>
      <c r="O14" s="73"/>
      <c r="P14" s="10"/>
    </row>
    <row r="15" spans="1:18" ht="26.1" customHeight="1" x14ac:dyDescent="0.25">
      <c r="A15" s="454"/>
      <c r="B15" s="63" t="s">
        <v>67</v>
      </c>
      <c r="C15" s="394">
        <f>HLOOKUP(B15,DataInfo[#All], MATCH(B3,DataInfo[jobNo],0)+1,FALSE)</f>
        <v>0.5</v>
      </c>
      <c r="D15" s="394">
        <f>HLOOKUP("Small P",DataInfo[#All], MATCH(B3,DataInfo[jobNo],0)+1,FALSE)</f>
        <v>0.5</v>
      </c>
      <c r="E15" s="76"/>
      <c r="F15" s="9">
        <f t="shared" si="6"/>
        <v>1195</v>
      </c>
      <c r="G15" s="65"/>
      <c r="H15" s="66">
        <f t="shared" si="0"/>
        <v>1195</v>
      </c>
      <c r="I15" s="67">
        <f t="shared" si="1"/>
        <v>0.5</v>
      </c>
      <c r="J15" s="75"/>
      <c r="K15" s="69">
        <f t="shared" si="4"/>
        <v>1195</v>
      </c>
      <c r="L15" s="70">
        <f t="shared" si="2"/>
        <v>0</v>
      </c>
      <c r="M15" s="71">
        <f t="shared" si="5"/>
        <v>1195</v>
      </c>
      <c r="N15" s="72">
        <f t="shared" si="3"/>
        <v>0</v>
      </c>
      <c r="O15" s="73"/>
      <c r="P15" s="10"/>
    </row>
    <row r="16" spans="1:18" ht="26.1" customHeight="1" x14ac:dyDescent="0.25">
      <c r="A16" s="454"/>
      <c r="B16" s="63" t="s">
        <v>68</v>
      </c>
      <c r="C16" s="394">
        <f>HLOOKUP(B16,DataInfo[#All], MATCH(B3,DataInfo[jobNo],0)+1,FALSE)</f>
        <v>0.5</v>
      </c>
      <c r="D16" s="394">
        <f>HLOOKUP("PPE P",DataInfo[#All], MATCH(B3,DataInfo[jobNo],0)+1,FALSE)</f>
        <v>0.5</v>
      </c>
      <c r="E16" s="76" t="s">
        <v>19</v>
      </c>
      <c r="F16" s="9">
        <f t="shared" si="6"/>
        <v>1195</v>
      </c>
      <c r="G16" s="65"/>
      <c r="H16" s="66">
        <f t="shared" si="0"/>
        <v>1195</v>
      </c>
      <c r="I16" s="67">
        <f t="shared" si="1"/>
        <v>0.5</v>
      </c>
      <c r="J16" s="75"/>
      <c r="K16" s="69">
        <f t="shared" si="4"/>
        <v>1195</v>
      </c>
      <c r="L16" s="70">
        <f t="shared" si="2"/>
        <v>0</v>
      </c>
      <c r="M16" s="71">
        <f t="shared" si="5"/>
        <v>1195</v>
      </c>
      <c r="N16" s="72">
        <f t="shared" si="3"/>
        <v>0</v>
      </c>
      <c r="O16" s="73"/>
      <c r="P16" s="11"/>
    </row>
    <row r="17" spans="1:16" ht="26.1" customHeight="1" x14ac:dyDescent="0.25">
      <c r="A17" s="454"/>
      <c r="B17" s="63" t="s">
        <v>69</v>
      </c>
      <c r="C17" s="394">
        <f>HLOOKUP(B17,DataInfo[#All], MATCH(B3,DataInfo[jobNo],0)+1,FALSE)</f>
        <v>1</v>
      </c>
      <c r="D17" s="394">
        <f>HLOOKUP("Consumable P",DataInfo[#All], MATCH(B3,DataInfo[jobNo],0)+1,FALSE)</f>
        <v>1</v>
      </c>
      <c r="E17" s="76" t="s">
        <v>19</v>
      </c>
      <c r="F17" s="9">
        <f t="shared" si="6"/>
        <v>2390</v>
      </c>
      <c r="G17" s="65"/>
      <c r="H17" s="66">
        <f t="shared" si="0"/>
        <v>2390</v>
      </c>
      <c r="I17" s="67">
        <f t="shared" si="1"/>
        <v>1</v>
      </c>
      <c r="J17" s="75"/>
      <c r="K17" s="69">
        <f t="shared" si="4"/>
        <v>2390</v>
      </c>
      <c r="L17" s="70">
        <f t="shared" si="2"/>
        <v>0</v>
      </c>
      <c r="M17" s="71">
        <f t="shared" si="5"/>
        <v>2390</v>
      </c>
      <c r="N17" s="72">
        <f t="shared" si="3"/>
        <v>0</v>
      </c>
      <c r="O17" s="73"/>
      <c r="P17" s="11"/>
    </row>
    <row r="18" spans="1:16" ht="26.1" customHeight="1" x14ac:dyDescent="0.25">
      <c r="A18" s="454"/>
      <c r="B18" s="63" t="s">
        <v>22</v>
      </c>
      <c r="C18" s="394">
        <f>HLOOKUP(B18,DataInfo[#All], MATCH(B3,DataInfo[jobNo],0)+1,FALSE)</f>
        <v>8</v>
      </c>
      <c r="D18" s="394">
        <f>HLOOKUP("Overhead P",DataInfo[#All], MATCH(B3,DataInfo[jobNo],0)+1,FALSE)</f>
        <v>8</v>
      </c>
      <c r="E18" s="76" t="s">
        <v>19</v>
      </c>
      <c r="F18" s="9">
        <f t="shared" si="6"/>
        <v>19120</v>
      </c>
      <c r="G18" s="65"/>
      <c r="H18" s="66">
        <f t="shared" si="0"/>
        <v>19120</v>
      </c>
      <c r="I18" s="67">
        <f t="shared" si="1"/>
        <v>8</v>
      </c>
      <c r="J18" s="75"/>
      <c r="K18" s="69">
        <f t="shared" si="4"/>
        <v>19120</v>
      </c>
      <c r="L18" s="70">
        <f t="shared" si="2"/>
        <v>0</v>
      </c>
      <c r="M18" s="71">
        <f t="shared" si="5"/>
        <v>19120</v>
      </c>
      <c r="N18" s="72">
        <f t="shared" si="3"/>
        <v>0</v>
      </c>
      <c r="O18" s="73"/>
      <c r="P18" s="11"/>
    </row>
    <row r="19" spans="1:16" ht="26.1" customHeight="1" x14ac:dyDescent="0.25">
      <c r="A19" s="454"/>
      <c r="B19" s="63" t="s">
        <v>23</v>
      </c>
      <c r="C19" s="394">
        <f>HLOOKUP(B19,DataInfo[#All], MATCH(B3,DataInfo[jobNo],0)+1,FALSE)</f>
        <v>6</v>
      </c>
      <c r="D19" s="394">
        <f>HLOOKUP("Profit P",DataInfo[#All], MATCH(B3,DataInfo[jobNo],0)+1,FALSE)</f>
        <v>6</v>
      </c>
      <c r="E19" s="76" t="s">
        <v>19</v>
      </c>
      <c r="F19" s="9">
        <f t="shared" si="6"/>
        <v>14340</v>
      </c>
      <c r="G19" s="65"/>
      <c r="H19" s="66">
        <f t="shared" si="0"/>
        <v>14340</v>
      </c>
      <c r="I19" s="79">
        <f>IFERROR(H19/$E$26,0)</f>
        <v>6</v>
      </c>
      <c r="J19" s="75"/>
      <c r="K19" s="69">
        <f>F19</f>
        <v>14340</v>
      </c>
      <c r="L19" s="70">
        <f t="shared" si="2"/>
        <v>0</v>
      </c>
      <c r="M19" s="71">
        <f t="shared" si="5"/>
        <v>14340</v>
      </c>
      <c r="N19" s="72">
        <f t="shared" si="3"/>
        <v>0</v>
      </c>
      <c r="O19" s="73"/>
      <c r="P19" s="11"/>
    </row>
    <row r="20" spans="1:16" ht="26.1" customHeight="1" x14ac:dyDescent="0.25">
      <c r="A20" s="454"/>
      <c r="B20" s="63"/>
      <c r="C20" s="394"/>
      <c r="D20" s="394"/>
      <c r="E20" s="76"/>
      <c r="F20" s="9">
        <f>(C20*$C$5)+(D20*$D$5)</f>
        <v>0</v>
      </c>
      <c r="G20" s="65"/>
      <c r="H20" s="66">
        <f t="shared" si="0"/>
        <v>0</v>
      </c>
      <c r="I20" s="67">
        <f t="shared" si="1"/>
        <v>0</v>
      </c>
      <c r="J20" s="75"/>
      <c r="K20" s="69">
        <f t="shared" si="4"/>
        <v>0</v>
      </c>
      <c r="L20" s="70">
        <f t="shared" si="2"/>
        <v>0</v>
      </c>
      <c r="M20" s="71">
        <f t="shared" si="5"/>
        <v>0</v>
      </c>
      <c r="N20" s="72">
        <f t="shared" si="3"/>
        <v>0</v>
      </c>
      <c r="O20" s="73"/>
      <c r="P20" s="11"/>
    </row>
    <row r="21" spans="1:16" ht="26.1" customHeight="1" x14ac:dyDescent="0.25">
      <c r="A21" s="454"/>
      <c r="B21" s="80"/>
      <c r="C21" s="394"/>
      <c r="D21" s="394"/>
      <c r="E21" s="76"/>
      <c r="F21" s="9">
        <f>(C21*$C$5)+(D21*$D$5)</f>
        <v>0</v>
      </c>
      <c r="G21" s="65"/>
      <c r="H21" s="66">
        <f t="shared" si="0"/>
        <v>0</v>
      </c>
      <c r="I21" s="67">
        <f t="shared" si="1"/>
        <v>0</v>
      </c>
      <c r="J21" s="75"/>
      <c r="K21" s="69">
        <f t="shared" si="4"/>
        <v>0</v>
      </c>
      <c r="L21" s="70">
        <f t="shared" si="2"/>
        <v>0</v>
      </c>
      <c r="M21" s="71">
        <f t="shared" si="5"/>
        <v>0</v>
      </c>
      <c r="N21" s="72">
        <f t="shared" si="3"/>
        <v>0</v>
      </c>
      <c r="O21" s="73"/>
      <c r="P21" s="11"/>
    </row>
    <row r="22" spans="1:16" ht="26.1" customHeight="1" x14ac:dyDescent="0.25">
      <c r="A22" s="454"/>
      <c r="B22" s="80"/>
      <c r="C22" s="394"/>
      <c r="D22" s="394"/>
      <c r="E22" s="76"/>
      <c r="F22" s="9">
        <f>(C22*$C$5)+(D22*$D$5)</f>
        <v>0</v>
      </c>
      <c r="G22" s="65"/>
      <c r="H22" s="66">
        <f t="shared" si="0"/>
        <v>0</v>
      </c>
      <c r="I22" s="67">
        <f t="shared" si="1"/>
        <v>0</v>
      </c>
      <c r="J22" s="75"/>
      <c r="K22" s="69">
        <f t="shared" si="4"/>
        <v>0</v>
      </c>
      <c r="L22" s="70">
        <f t="shared" si="2"/>
        <v>0</v>
      </c>
      <c r="M22" s="71">
        <f t="shared" si="5"/>
        <v>0</v>
      </c>
      <c r="N22" s="72">
        <f t="shared" si="3"/>
        <v>0</v>
      </c>
      <c r="O22" s="73"/>
      <c r="P22" s="11"/>
    </row>
    <row r="23" spans="1:16" ht="26.1" customHeight="1" x14ac:dyDescent="0.25">
      <c r="A23" s="454"/>
      <c r="B23" s="80"/>
      <c r="C23" s="395"/>
      <c r="D23" s="395"/>
      <c r="E23" s="76"/>
      <c r="F23" s="9">
        <f t="shared" si="6"/>
        <v>0</v>
      </c>
      <c r="G23" s="65"/>
      <c r="H23" s="66">
        <f t="shared" si="0"/>
        <v>0</v>
      </c>
      <c r="I23" s="67">
        <f t="shared" si="1"/>
        <v>0</v>
      </c>
      <c r="J23" s="75"/>
      <c r="K23" s="69">
        <f t="shared" si="4"/>
        <v>0</v>
      </c>
      <c r="L23" s="70">
        <f t="shared" si="2"/>
        <v>0</v>
      </c>
      <c r="M23" s="71"/>
      <c r="N23" s="72"/>
      <c r="O23" s="73"/>
      <c r="P23" s="11"/>
    </row>
    <row r="24" spans="1:16" ht="26.1" customHeight="1" x14ac:dyDescent="0.25">
      <c r="A24" s="454"/>
      <c r="B24" s="80"/>
      <c r="C24" s="395"/>
      <c r="D24" s="395"/>
      <c r="E24" s="76"/>
      <c r="F24" s="9">
        <f t="shared" si="6"/>
        <v>0</v>
      </c>
      <c r="G24" s="65"/>
      <c r="H24" s="66">
        <f t="shared" si="0"/>
        <v>0</v>
      </c>
      <c r="I24" s="67">
        <f t="shared" si="1"/>
        <v>0</v>
      </c>
      <c r="J24" s="75"/>
      <c r="K24" s="69">
        <f t="shared" si="4"/>
        <v>0</v>
      </c>
      <c r="L24" s="70">
        <f>G24</f>
        <v>0</v>
      </c>
      <c r="M24" s="71">
        <f t="shared" si="5"/>
        <v>0</v>
      </c>
      <c r="N24" s="72">
        <f t="shared" si="3"/>
        <v>0</v>
      </c>
      <c r="O24" s="73"/>
      <c r="P24" s="11"/>
    </row>
    <row r="25" spans="1:16" ht="21.75" customHeight="1" thickBot="1" x14ac:dyDescent="0.3">
      <c r="A25" s="455"/>
      <c r="B25" s="80"/>
      <c r="C25" s="395"/>
      <c r="D25" s="396"/>
      <c r="E25" s="76"/>
      <c r="F25" s="9">
        <f t="shared" si="6"/>
        <v>0</v>
      </c>
      <c r="G25" s="65"/>
      <c r="H25" s="66">
        <f t="shared" si="0"/>
        <v>0</v>
      </c>
      <c r="I25" s="67">
        <f t="shared" si="1"/>
        <v>0</v>
      </c>
      <c r="J25" s="81"/>
      <c r="K25" s="69">
        <f t="shared" si="4"/>
        <v>0</v>
      </c>
      <c r="L25" s="70">
        <f t="shared" si="2"/>
        <v>0</v>
      </c>
      <c r="M25" s="71">
        <f t="shared" si="5"/>
        <v>0</v>
      </c>
      <c r="N25" s="72">
        <f t="shared" si="3"/>
        <v>0</v>
      </c>
      <c r="O25" s="82"/>
      <c r="P25" s="11"/>
    </row>
    <row r="26" spans="1:16" ht="25.35" customHeight="1" thickTop="1" thickBot="1" x14ac:dyDescent="0.35">
      <c r="A26" s="456" t="s">
        <v>24</v>
      </c>
      <c r="B26" s="457"/>
      <c r="C26" s="83">
        <f>SUM(PRODUCT(SUM(C6:C25),$G$3),$G$3)</f>
        <v>48.01</v>
      </c>
      <c r="D26" s="84">
        <f>SUM(PRODUCT(SUM(D6:D25),$G$3),$H$3)</f>
        <v>47.01</v>
      </c>
      <c r="E26" s="85">
        <f>SUM(E5:E25)</f>
        <v>2390</v>
      </c>
      <c r="F26" s="86">
        <f>IFERROR(SUM(F5:F25),0)</f>
        <v>223080.2</v>
      </c>
      <c r="G26" s="86">
        <f>SUM(G5:G23)</f>
        <v>2390</v>
      </c>
      <c r="H26" s="87">
        <f t="shared" si="0"/>
        <v>220690.2</v>
      </c>
      <c r="I26" s="88">
        <f>IFERROR(H26/$E$58,0)</f>
        <v>92.33899581589958</v>
      </c>
      <c r="J26" s="89">
        <f>IFERROR(H26/F26,0)</f>
        <v>0.98928636427616612</v>
      </c>
      <c r="K26" s="90">
        <f>SUM(K5:K25)</f>
        <v>223080.2</v>
      </c>
      <c r="L26" s="91">
        <f>SUM(L5:L23)</f>
        <v>2390</v>
      </c>
      <c r="M26" s="92">
        <f>IFERROR(K26-L26,0)</f>
        <v>220690.2</v>
      </c>
      <c r="N26" s="93">
        <f>IFERROR(M26/K26,0)</f>
        <v>0.98928636427616612</v>
      </c>
      <c r="O26" s="94">
        <f>IFERROR(M26/K26,0)</f>
        <v>0.98928636427616612</v>
      </c>
      <c r="P26" s="12"/>
    </row>
    <row r="27" spans="1:16" ht="5.25" customHeight="1" x14ac:dyDescent="0.3">
      <c r="A27" s="95"/>
      <c r="B27" s="96"/>
      <c r="C27" s="96"/>
      <c r="D27" s="96"/>
      <c r="E27" s="97"/>
      <c r="F27" s="97"/>
      <c r="G27" s="98"/>
      <c r="H27" s="99"/>
      <c r="I27" s="100"/>
      <c r="J27" s="101"/>
      <c r="K27" s="102"/>
      <c r="L27" s="103"/>
      <c r="M27" s="104"/>
      <c r="N27" s="105"/>
      <c r="O27" s="106"/>
      <c r="P27" s="12"/>
    </row>
    <row r="28" spans="1:16" ht="67.349999999999994" customHeight="1" thickBot="1" x14ac:dyDescent="0.35">
      <c r="A28" s="458" t="s">
        <v>25</v>
      </c>
      <c r="B28" s="107" t="s">
        <v>18</v>
      </c>
      <c r="C28" s="107"/>
      <c r="D28" s="107"/>
      <c r="E28" s="108"/>
      <c r="F28" s="109">
        <f>VLOOKUP(B3,DataInfo[[jobNo]:[Subcontract Cost]],12,0)</f>
        <v>0</v>
      </c>
      <c r="G28" s="109"/>
      <c r="H28" s="110">
        <f>IFERROR(F28-G28,0)</f>
        <v>0</v>
      </c>
      <c r="I28" s="111">
        <f>IFERROR(H28/$E$30,0)</f>
        <v>0</v>
      </c>
      <c r="J28" s="13" t="s">
        <v>19</v>
      </c>
      <c r="K28" s="112"/>
      <c r="L28" s="113"/>
      <c r="M28" s="114">
        <f>IFERROR(K28-L28,0)</f>
        <v>0</v>
      </c>
      <c r="N28" s="115">
        <f>IFERROR(M28/$E$3,0)</f>
        <v>0</v>
      </c>
      <c r="O28" s="14" t="s">
        <v>19</v>
      </c>
      <c r="P28" s="11"/>
    </row>
    <row r="29" spans="1:16" ht="2.25" customHeight="1" thickTop="1" thickBot="1" x14ac:dyDescent="0.35">
      <c r="A29" s="459"/>
      <c r="B29" s="116"/>
      <c r="C29" s="117"/>
      <c r="D29" s="117"/>
      <c r="E29" s="118"/>
      <c r="F29" s="119"/>
      <c r="G29" s="119"/>
      <c r="H29" s="120"/>
      <c r="I29" s="121"/>
      <c r="J29" s="13"/>
      <c r="K29" s="122"/>
      <c r="L29" s="123"/>
      <c r="M29" s="124"/>
      <c r="N29" s="125"/>
      <c r="O29" s="15"/>
      <c r="P29" s="11"/>
    </row>
    <row r="30" spans="1:16" ht="25.35" customHeight="1" thickTop="1" thickBot="1" x14ac:dyDescent="0.35">
      <c r="A30" s="460" t="s">
        <v>26</v>
      </c>
      <c r="B30" s="461"/>
      <c r="C30" s="290"/>
      <c r="D30" s="290"/>
      <c r="E30" s="126">
        <f>SUM(E28)</f>
        <v>0</v>
      </c>
      <c r="F30" s="127">
        <f>SUM(F28:F29)</f>
        <v>0</v>
      </c>
      <c r="G30" s="127">
        <f>SUM(G28:G29)</f>
        <v>0</v>
      </c>
      <c r="H30" s="128">
        <f>IFERROR(F30-G30,0)</f>
        <v>0</v>
      </c>
      <c r="I30" s="129">
        <f>IFERROR(H30/$E$58,0)</f>
        <v>0</v>
      </c>
      <c r="J30" s="130">
        <f>IFERROR(H30/F30,0)</f>
        <v>0</v>
      </c>
      <c r="K30" s="131">
        <f>SUM(K28:K29)</f>
        <v>0</v>
      </c>
      <c r="L30" s="132">
        <f>SUM(L28:L29)</f>
        <v>0</v>
      </c>
      <c r="M30" s="133">
        <f>IFERROR(K30-L30,0)</f>
        <v>0</v>
      </c>
      <c r="N30" s="134">
        <f>IFERROR(M30/$E$3,0)</f>
        <v>0</v>
      </c>
      <c r="O30" s="135">
        <f>IFERROR(M30/K30,0)</f>
        <v>0</v>
      </c>
      <c r="P30" s="11"/>
    </row>
    <row r="31" spans="1:16" ht="2.1" customHeight="1" x14ac:dyDescent="0.3">
      <c r="A31" s="95"/>
      <c r="B31" s="96"/>
      <c r="C31" s="96"/>
      <c r="D31" s="96"/>
      <c r="E31" s="97"/>
      <c r="F31" s="97"/>
      <c r="G31" s="98"/>
      <c r="H31" s="136"/>
      <c r="I31" s="137"/>
      <c r="J31" s="101"/>
      <c r="K31" s="102"/>
      <c r="L31" s="103"/>
      <c r="M31" s="104"/>
      <c r="N31" s="105"/>
      <c r="O31" s="106"/>
      <c r="P31" s="16"/>
    </row>
    <row r="32" spans="1:16" ht="24.75" customHeight="1" thickBot="1" x14ac:dyDescent="0.35">
      <c r="A32" s="439" t="s">
        <v>27</v>
      </c>
      <c r="B32" s="440"/>
      <c r="C32" s="291"/>
      <c r="D32" s="291"/>
      <c r="E32" s="138">
        <f>SUM(E30,E26)</f>
        <v>2390</v>
      </c>
      <c r="F32" s="139">
        <f>IFERROR(SUM(F30,F26),0)</f>
        <v>223080.2</v>
      </c>
      <c r="G32" s="139">
        <f>SUM(G26,G30)</f>
        <v>2390</v>
      </c>
      <c r="H32" s="140">
        <f>IFERROR(F32-G32,0)</f>
        <v>220690.2</v>
      </c>
      <c r="I32" s="141">
        <f>IFERROR(H32/$E$58,0)</f>
        <v>92.33899581589958</v>
      </c>
      <c r="J32" s="89">
        <f>IFERROR(H32/F32,0)</f>
        <v>0.98928636427616612</v>
      </c>
      <c r="K32" s="142">
        <f>SUM(K30,K26)</f>
        <v>223080.2</v>
      </c>
      <c r="L32" s="143">
        <f>SUM(L26,L30)</f>
        <v>2390</v>
      </c>
      <c r="M32" s="144">
        <f>IFERROR(K32-L32,0)</f>
        <v>220690.2</v>
      </c>
      <c r="N32" s="145">
        <f>IFERROR(M32/$E$3,0)</f>
        <v>0</v>
      </c>
      <c r="O32" s="94">
        <f>IFERROR(M32/K32,0)</f>
        <v>0.98928636427616612</v>
      </c>
      <c r="P32" s="11"/>
    </row>
    <row r="33" spans="1:16" ht="3" customHeight="1" thickBot="1" x14ac:dyDescent="0.35">
      <c r="A33" s="146"/>
      <c r="B33" s="147"/>
      <c r="C33" s="147"/>
      <c r="D33" s="147"/>
      <c r="E33" s="148"/>
      <c r="F33" s="148"/>
      <c r="G33" s="149"/>
      <c r="H33" s="150"/>
      <c r="I33" s="151"/>
      <c r="J33" s="101"/>
      <c r="K33" s="152"/>
      <c r="L33" s="153"/>
      <c r="M33" s="104"/>
      <c r="N33" s="154"/>
      <c r="O33" s="155"/>
      <c r="P33" s="12"/>
    </row>
    <row r="34" spans="1:16" ht="54" customHeight="1" thickBot="1" x14ac:dyDescent="0.3">
      <c r="A34" s="470" t="s">
        <v>28</v>
      </c>
      <c r="B34" s="472" t="s">
        <v>20</v>
      </c>
      <c r="C34" s="156"/>
      <c r="D34" s="156"/>
      <c r="E34" s="157" t="s">
        <v>19</v>
      </c>
      <c r="F34" s="158">
        <f>VLOOKUP(B3,DataInfo[[jobNo]:[Material Cost]],11,0)</f>
        <v>480</v>
      </c>
      <c r="G34" s="158"/>
      <c r="H34" s="159">
        <f>IFERROR(F34-G34,0)</f>
        <v>480</v>
      </c>
      <c r="I34" s="160">
        <f>IFERROR(H34/$E$58,0)</f>
        <v>0.20083682008368201</v>
      </c>
      <c r="J34" s="161" t="s">
        <v>19</v>
      </c>
      <c r="K34" s="162">
        <f>F34</f>
        <v>480</v>
      </c>
      <c r="L34" s="163">
        <f>G34</f>
        <v>0</v>
      </c>
      <c r="M34" s="164">
        <f>IFERROR(K34-L34,0)</f>
        <v>480</v>
      </c>
      <c r="N34" s="165">
        <f>IFERROR(M34/$E$3,0)</f>
        <v>0</v>
      </c>
      <c r="O34" s="166" t="s">
        <v>19</v>
      </c>
      <c r="P34" s="11"/>
    </row>
    <row r="35" spans="1:16" ht="2.25" customHeight="1" thickBot="1" x14ac:dyDescent="0.35">
      <c r="A35" s="471"/>
      <c r="B35" s="473"/>
      <c r="C35" s="167"/>
      <c r="D35" s="167"/>
      <c r="E35" s="168"/>
      <c r="F35" s="168"/>
      <c r="G35" s="169"/>
      <c r="H35" s="170"/>
      <c r="I35" s="171"/>
      <c r="J35" s="17"/>
      <c r="K35" s="172"/>
      <c r="L35" s="173"/>
      <c r="M35" s="174"/>
      <c r="N35" s="175"/>
      <c r="O35" s="18"/>
      <c r="P35" s="19"/>
    </row>
    <row r="36" spans="1:16" ht="30" customHeight="1" thickTop="1" thickBot="1" x14ac:dyDescent="0.35">
      <c r="A36" s="474" t="s">
        <v>29</v>
      </c>
      <c r="B36" s="475"/>
      <c r="C36" s="288"/>
      <c r="D36" s="288"/>
      <c r="E36" s="176"/>
      <c r="F36" s="177">
        <f>IFERROR(SUM(F34:F35),0)</f>
        <v>480</v>
      </c>
      <c r="G36" s="177">
        <f>SUM(G34:G35)</f>
        <v>0</v>
      </c>
      <c r="H36" s="178">
        <f>IFERROR(F36-G36,0)</f>
        <v>480</v>
      </c>
      <c r="I36" s="179">
        <f>IFERROR(H36/$E$58,0)</f>
        <v>0.20083682008368201</v>
      </c>
      <c r="J36" s="180">
        <f>IFERROR(H36/F36,0)</f>
        <v>1</v>
      </c>
      <c r="K36" s="181">
        <f>SUM(K34:K35)</f>
        <v>480</v>
      </c>
      <c r="L36" s="182">
        <f>SUM(L34:L35)</f>
        <v>0</v>
      </c>
      <c r="M36" s="343">
        <f>IFERROR(K36-L36,0)</f>
        <v>480</v>
      </c>
      <c r="N36" s="178">
        <f>IFERROR(M36/$E$3,0)</f>
        <v>0</v>
      </c>
      <c r="O36" s="184">
        <f>IFERROR(M36/K36,0)</f>
        <v>1</v>
      </c>
      <c r="P36" s="12"/>
    </row>
    <row r="37" spans="1:16" ht="1.5" customHeight="1" thickTop="1" thickBot="1" x14ac:dyDescent="0.35">
      <c r="A37" s="146"/>
      <c r="B37" s="146"/>
      <c r="C37" s="147"/>
      <c r="D37" s="147"/>
      <c r="E37" s="148"/>
      <c r="F37" s="148"/>
      <c r="G37" s="149"/>
      <c r="H37" s="150"/>
      <c r="I37" s="185"/>
      <c r="J37" s="186"/>
      <c r="K37" s="187"/>
      <c r="L37" s="153"/>
      <c r="M37" s="345"/>
      <c r="N37" s="150"/>
      <c r="O37" s="155"/>
      <c r="P37" s="12"/>
    </row>
    <row r="38" spans="1:16" ht="31.5" customHeight="1" thickTop="1" x14ac:dyDescent="0.25">
      <c r="A38" s="476" t="s">
        <v>30</v>
      </c>
      <c r="B38" s="189" t="s">
        <v>31</v>
      </c>
      <c r="C38" s="189"/>
      <c r="D38" s="189"/>
      <c r="E38" s="190" t="s">
        <v>19</v>
      </c>
      <c r="F38" s="191">
        <f>VLOOKUP(B3,DataInfo[[jobNo]:[Company Equipment]],10,0)</f>
        <v>0</v>
      </c>
      <c r="G38" s="191"/>
      <c r="H38" s="192">
        <f>IFERROR(F38-G38,0)</f>
        <v>0</v>
      </c>
      <c r="I38" s="193">
        <f>IFERROR(H38/$E$58,0)</f>
        <v>0</v>
      </c>
      <c r="J38" s="194"/>
      <c r="K38" s="195">
        <f>F38</f>
        <v>0</v>
      </c>
      <c r="L38" s="196">
        <f>G38</f>
        <v>0</v>
      </c>
      <c r="M38" s="346">
        <f>IFERROR(K38-L38,0)</f>
        <v>0</v>
      </c>
      <c r="N38" s="344">
        <f>IFERROR(M38/$E$3,0)</f>
        <v>0</v>
      </c>
      <c r="O38" s="197"/>
      <c r="P38" s="11"/>
    </row>
    <row r="39" spans="1:16" ht="33" customHeight="1" thickBot="1" x14ac:dyDescent="0.3">
      <c r="A39" s="477"/>
      <c r="B39" s="198" t="s">
        <v>32</v>
      </c>
      <c r="C39" s="198"/>
      <c r="D39" s="198"/>
      <c r="E39" s="199" t="s">
        <v>19</v>
      </c>
      <c r="F39" s="200">
        <f>VLOOKUP(B3,DataInfo[[jobNo]:[3rd Party Cost]],7,0)</f>
        <v>50</v>
      </c>
      <c r="G39" s="200"/>
      <c r="H39" s="201">
        <f>IFERROR(F39-G39,0)</f>
        <v>50</v>
      </c>
      <c r="I39" s="202">
        <f>IFERROR(H39/$E$58,0)</f>
        <v>2.0920502092050208E-2</v>
      </c>
      <c r="J39" s="203"/>
      <c r="K39" s="360">
        <f>F39</f>
        <v>50</v>
      </c>
      <c r="L39" s="362">
        <f>G39</f>
        <v>0</v>
      </c>
      <c r="M39" s="204">
        <f>IFERROR(K39-L39,0)</f>
        <v>50</v>
      </c>
      <c r="N39" s="205">
        <f>IFERROR(M39/$E$3,0)</f>
        <v>0</v>
      </c>
      <c r="O39" s="206"/>
      <c r="P39" s="11"/>
    </row>
    <row r="40" spans="1:16" ht="30" customHeight="1" thickTop="1" thickBot="1" x14ac:dyDescent="0.35">
      <c r="A40" s="478" t="s">
        <v>33</v>
      </c>
      <c r="B40" s="479"/>
      <c r="C40" s="289"/>
      <c r="D40" s="289"/>
      <c r="E40" s="207" t="s">
        <v>19</v>
      </c>
      <c r="F40" s="208">
        <f>IFERROR(SUM(F38:F39),0)</f>
        <v>50</v>
      </c>
      <c r="G40" s="208"/>
      <c r="H40" s="209">
        <f>IFERROR(F40-G40,0)</f>
        <v>50</v>
      </c>
      <c r="I40" s="210">
        <f>IFERROR(H40/$E$58,0)</f>
        <v>2.0920502092050208E-2</v>
      </c>
      <c r="J40" s="211">
        <f>IFERROR(H40/F40,0)</f>
        <v>1</v>
      </c>
      <c r="K40" s="361">
        <f>SUM(K38:K39)</f>
        <v>50</v>
      </c>
      <c r="L40" s="363">
        <f>SUM(L38:L39)</f>
        <v>0</v>
      </c>
      <c r="M40" s="212">
        <f>IFERROR(K40-L40,0)</f>
        <v>50</v>
      </c>
      <c r="N40" s="209">
        <f>IFERROR(M40/$E$3,0)</f>
        <v>0</v>
      </c>
      <c r="O40" s="213">
        <f>IFERROR(M40/K40,0)</f>
        <v>1</v>
      </c>
      <c r="P40" s="11"/>
    </row>
    <row r="41" spans="1:16" ht="0.75" customHeight="1" thickBot="1" x14ac:dyDescent="0.35">
      <c r="A41" s="95"/>
      <c r="B41" s="96"/>
      <c r="C41" s="96"/>
      <c r="D41" s="96"/>
      <c r="E41" s="97"/>
      <c r="F41" s="98"/>
      <c r="G41" s="98"/>
      <c r="H41" s="99"/>
      <c r="I41" s="100"/>
      <c r="J41" s="101"/>
      <c r="K41" s="102"/>
      <c r="L41" s="103"/>
      <c r="M41" s="214"/>
      <c r="N41" s="100"/>
      <c r="O41" s="106"/>
      <c r="P41" s="16"/>
    </row>
    <row r="42" spans="1:16" ht="30.95" customHeight="1" x14ac:dyDescent="0.25">
      <c r="A42" s="480" t="s">
        <v>34</v>
      </c>
      <c r="B42" s="215" t="s">
        <v>35</v>
      </c>
      <c r="C42" s="216">
        <f>VLOOKUP(B3,DataInfo[[jobNo]:[Scaffold-ADD]],6,0)</f>
        <v>1</v>
      </c>
      <c r="D42" s="216"/>
      <c r="E42" s="217" t="s">
        <v>19</v>
      </c>
      <c r="F42" s="218">
        <f>(C42*$C$5)+(D42*$D$5)</f>
        <v>1797</v>
      </c>
      <c r="G42" s="218"/>
      <c r="H42" s="219">
        <f>IFERROR(F42-G42,0)</f>
        <v>1797</v>
      </c>
      <c r="I42" s="220">
        <f>IFERROR(H42/$E$58,0)</f>
        <v>0.75188284518828452</v>
      </c>
      <c r="J42" s="221">
        <f>IFERROR(H42/F42,0)</f>
        <v>1</v>
      </c>
      <c r="K42" s="222">
        <f>F42</f>
        <v>1797</v>
      </c>
      <c r="L42" s="223">
        <f>G42</f>
        <v>0</v>
      </c>
      <c r="M42" s="224">
        <f>IFERROR(K42-L42,0)</f>
        <v>1797</v>
      </c>
      <c r="N42" s="225">
        <f>IFERROR(M42/$E$3,0)</f>
        <v>0</v>
      </c>
      <c r="O42" s="226">
        <f>IFERROR(M42/K42,0)</f>
        <v>1</v>
      </c>
      <c r="P42" s="16"/>
    </row>
    <row r="43" spans="1:16" ht="30.95" customHeight="1" thickBot="1" x14ac:dyDescent="0.3">
      <c r="A43" s="481"/>
      <c r="B43" s="227" t="s">
        <v>36</v>
      </c>
      <c r="C43" s="228"/>
      <c r="D43" s="228"/>
      <c r="E43" s="229" t="s">
        <v>19</v>
      </c>
      <c r="F43" s="230">
        <f>VLOOKUP(B3,DataInfo[[jobNo]:[Scaffold]],9,0)</f>
        <v>130</v>
      </c>
      <c r="G43" s="230"/>
      <c r="H43" s="231">
        <f>IFERROR(F43-G43,0)</f>
        <v>130</v>
      </c>
      <c r="I43" s="232">
        <f>IFERROR(H43/$E$58,0)</f>
        <v>5.4393305439330547E-2</v>
      </c>
      <c r="J43" s="233">
        <f>IFERROR(H43/F43,0)</f>
        <v>1</v>
      </c>
      <c r="K43" s="234">
        <f>F43</f>
        <v>130</v>
      </c>
      <c r="L43" s="235">
        <f>G43</f>
        <v>0</v>
      </c>
      <c r="M43" s="236">
        <f>IFERROR(K43-L43,0)</f>
        <v>130</v>
      </c>
      <c r="N43" s="237">
        <f>IFERROR(M43/$E$3,0)</f>
        <v>0</v>
      </c>
      <c r="O43" s="238">
        <f>IFERROR(M43/K43,0)</f>
        <v>1</v>
      </c>
      <c r="P43" s="16"/>
    </row>
    <row r="44" spans="1:16" ht="32.25" customHeight="1" thickTop="1" thickBot="1" x14ac:dyDescent="0.35">
      <c r="A44" s="464" t="s">
        <v>37</v>
      </c>
      <c r="B44" s="465"/>
      <c r="C44" s="286"/>
      <c r="D44" s="286"/>
      <c r="E44" s="239"/>
      <c r="F44" s="334">
        <f>IFERROR(SUM(F42:F43),0)</f>
        <v>1927</v>
      </c>
      <c r="G44" s="240">
        <f>SUM(G42:G43)</f>
        <v>0</v>
      </c>
      <c r="H44" s="241">
        <f>IFERROR(F44-G44,0)</f>
        <v>1927</v>
      </c>
      <c r="I44" s="242">
        <f>IFERROR(H44/$E$58,0)</f>
        <v>0.80627615062761504</v>
      </c>
      <c r="J44" s="243">
        <f>IFERROR(H44/F44,0)</f>
        <v>1</v>
      </c>
      <c r="K44" s="244">
        <f>SUM(K42:K43)</f>
        <v>1927</v>
      </c>
      <c r="L44" s="245">
        <f>SUM(L42:L43)</f>
        <v>0</v>
      </c>
      <c r="M44" s="246">
        <f>IFERROR(K44-L44,0)</f>
        <v>1927</v>
      </c>
      <c r="N44" s="241">
        <f>IFERROR(M44/$E$3,0)</f>
        <v>0</v>
      </c>
      <c r="O44" s="247">
        <f>IFERROR(M44/K44,0)</f>
        <v>1</v>
      </c>
      <c r="P44" s="11"/>
    </row>
    <row r="45" spans="1:16" ht="0.75" customHeight="1" thickTop="1" thickBot="1" x14ac:dyDescent="0.35">
      <c r="A45" s="332"/>
      <c r="B45" s="147"/>
      <c r="C45" s="147"/>
      <c r="D45" s="147"/>
      <c r="E45" s="148"/>
      <c r="F45" s="335"/>
      <c r="G45" s="149"/>
      <c r="H45" s="150"/>
      <c r="I45" s="185"/>
      <c r="J45" s="101"/>
      <c r="K45" s="187"/>
      <c r="L45" s="153"/>
      <c r="M45" s="188"/>
      <c r="N45" s="150"/>
      <c r="O45" s="155"/>
      <c r="P45" s="12"/>
    </row>
    <row r="46" spans="1:16" ht="31.5" customHeight="1" thickTop="1" x14ac:dyDescent="0.3">
      <c r="A46" s="466" t="s">
        <v>21</v>
      </c>
      <c r="B46" s="331" t="s">
        <v>38</v>
      </c>
      <c r="C46" s="347">
        <v>0</v>
      </c>
      <c r="D46" s="347">
        <f>IFERROR(SUMIFS(#REF!,#REF!,$A$2,#REF!,$B$3),0)</f>
        <v>0</v>
      </c>
      <c r="E46" s="333"/>
      <c r="F46" s="336">
        <f>VLOOKUP(B3,DataInfo[[jobNo]:[Other Cost]],15,0)</f>
        <v>0</v>
      </c>
      <c r="G46" s="337"/>
      <c r="H46" s="338">
        <f>IFERROR(F46-G46,0)</f>
        <v>0</v>
      </c>
      <c r="I46" s="339">
        <f>IFERROR(H46/$E$26,0)</f>
        <v>0</v>
      </c>
      <c r="J46" s="340"/>
      <c r="K46" s="341">
        <f>F46</f>
        <v>0</v>
      </c>
      <c r="L46" s="342">
        <f>G46</f>
        <v>0</v>
      </c>
      <c r="M46" s="249">
        <f>IFERROR(K46-L46,0)</f>
        <v>0</v>
      </c>
      <c r="N46" s="250">
        <f>IFERROR(M46/$E$3,0)</f>
        <v>0</v>
      </c>
      <c r="O46" s="251"/>
      <c r="P46" s="19"/>
    </row>
    <row r="47" spans="1:16" ht="31.5" customHeight="1" thickBot="1" x14ac:dyDescent="0.35">
      <c r="A47" s="467"/>
      <c r="B47" s="252" t="s">
        <v>39</v>
      </c>
      <c r="C47" s="253"/>
      <c r="D47" s="253"/>
      <c r="E47" s="254" t="s">
        <v>19</v>
      </c>
      <c r="F47" s="248">
        <f>VLOOKUP(B3,DataInfo[[jobNo]:[Other Revanue]],16,0)</f>
        <v>0</v>
      </c>
      <c r="G47" s="255"/>
      <c r="H47" s="256">
        <f>IFERROR(F47-G47,0)</f>
        <v>0</v>
      </c>
      <c r="I47" s="257">
        <f>IFERROR(H47/$E$26,0)</f>
        <v>0</v>
      </c>
      <c r="J47" s="258"/>
      <c r="K47" s="259">
        <f>F47</f>
        <v>0</v>
      </c>
      <c r="L47" s="260">
        <f>G47</f>
        <v>0</v>
      </c>
      <c r="M47" s="212">
        <f>IFERROR(K47-L47,0)</f>
        <v>0</v>
      </c>
      <c r="N47" s="209">
        <f>IFERROR(M47/$E$3,0)</f>
        <v>0</v>
      </c>
      <c r="O47" s="261"/>
      <c r="P47" s="12"/>
    </row>
    <row r="48" spans="1:16" ht="30" customHeight="1" thickTop="1" thickBot="1" x14ac:dyDescent="0.35">
      <c r="A48" s="468" t="s">
        <v>40</v>
      </c>
      <c r="B48" s="469"/>
      <c r="C48" s="287"/>
      <c r="D48" s="262"/>
      <c r="E48" s="300"/>
      <c r="F48" s="263">
        <f>IFERROR(SUM(F45:F47),0)</f>
        <v>0</v>
      </c>
      <c r="G48" s="263">
        <f>SUM(G45:G47)</f>
        <v>0</v>
      </c>
      <c r="H48" s="264">
        <f>IFERROR(F48-G48,0)</f>
        <v>0</v>
      </c>
      <c r="I48" s="301">
        <f>IFERROR(H48/$E$58,0)</f>
        <v>0</v>
      </c>
      <c r="J48" s="265">
        <f>IFERROR(H48/F48,0)</f>
        <v>0</v>
      </c>
      <c r="K48" s="266">
        <f>SUM(K45:K47)</f>
        <v>0</v>
      </c>
      <c r="L48" s="267">
        <f>SUM(L45:L47)</f>
        <v>0</v>
      </c>
      <c r="M48" s="183">
        <f>IFERROR(K48-L48,0)</f>
        <v>0</v>
      </c>
      <c r="N48" s="178">
        <f>IFERROR(M48/$E$3,0)</f>
        <v>0</v>
      </c>
      <c r="O48" s="268">
        <f>IFERROR(M48/K48,0)</f>
        <v>0</v>
      </c>
      <c r="P48" s="12"/>
    </row>
    <row r="49" spans="1:16" ht="60" customHeight="1" thickBot="1" x14ac:dyDescent="0.35">
      <c r="A49" s="433" t="s">
        <v>55</v>
      </c>
      <c r="B49" s="435" t="s">
        <v>55</v>
      </c>
      <c r="C49" s="437"/>
      <c r="D49" s="426"/>
      <c r="E49" s="426"/>
      <c r="F49" s="424">
        <f>VLOOKUP(B3,DataInfo[[jobNo]:[Tools]],13,0)</f>
        <v>0</v>
      </c>
      <c r="G49" s="426"/>
      <c r="H49" s="428"/>
      <c r="I49" s="430"/>
      <c r="J49" s="348"/>
      <c r="K49" s="364"/>
      <c r="L49" s="377"/>
      <c r="M49" s="297"/>
      <c r="N49" s="383"/>
      <c r="O49" s="298"/>
      <c r="P49" s="299"/>
    </row>
    <row r="50" spans="1:16" ht="30" hidden="1" customHeight="1" thickBot="1" x14ac:dyDescent="0.35">
      <c r="A50" s="434"/>
      <c r="B50" s="436"/>
      <c r="C50" s="438"/>
      <c r="D50" s="427"/>
      <c r="E50" s="427"/>
      <c r="F50" s="425"/>
      <c r="G50" s="427"/>
      <c r="H50" s="429"/>
      <c r="I50" s="431"/>
      <c r="J50" s="296"/>
      <c r="K50" s="294"/>
      <c r="L50" s="294"/>
      <c r="M50" s="350"/>
      <c r="N50" s="295"/>
      <c r="O50" s="353"/>
      <c r="P50" s="299"/>
    </row>
    <row r="51" spans="1:16" ht="30" customHeight="1" thickTop="1" thickBot="1" x14ac:dyDescent="0.35">
      <c r="A51" s="432" t="s">
        <v>85</v>
      </c>
      <c r="B51" s="432"/>
      <c r="C51" s="302"/>
      <c r="D51" s="303"/>
      <c r="E51" s="304"/>
      <c r="F51" s="311">
        <f>SUM(F49)</f>
        <v>0</v>
      </c>
      <c r="G51" s="305"/>
      <c r="H51" s="305"/>
      <c r="I51" s="306"/>
      <c r="J51" s="349"/>
      <c r="K51" s="365"/>
      <c r="L51" s="378"/>
      <c r="M51" s="351"/>
      <c r="N51" s="384"/>
      <c r="O51" s="385"/>
      <c r="P51" s="299"/>
    </row>
    <row r="52" spans="1:16" ht="58.5" customHeight="1" thickBot="1" x14ac:dyDescent="0.35">
      <c r="A52" s="418" t="s">
        <v>86</v>
      </c>
      <c r="B52" s="420" t="s">
        <v>87</v>
      </c>
      <c r="C52" s="422"/>
      <c r="D52" s="413"/>
      <c r="E52" s="413"/>
      <c r="F52" s="411">
        <f>VLOOKUP(B3,DataInfo[[jobNo]:[Scaffold]],9,0)</f>
        <v>130</v>
      </c>
      <c r="G52" s="413"/>
      <c r="H52" s="413"/>
      <c r="I52" s="415"/>
      <c r="J52" s="328"/>
      <c r="K52" s="366"/>
      <c r="L52" s="379"/>
      <c r="M52" s="297"/>
      <c r="N52" s="383"/>
      <c r="O52" s="386"/>
      <c r="P52" s="299"/>
    </row>
    <row r="53" spans="1:16" ht="30" hidden="1" customHeight="1" thickBot="1" x14ac:dyDescent="0.35">
      <c r="A53" s="419"/>
      <c r="B53" s="421"/>
      <c r="C53" s="423"/>
      <c r="D53" s="414"/>
      <c r="E53" s="414"/>
      <c r="F53" s="412"/>
      <c r="G53" s="414"/>
      <c r="H53" s="414"/>
      <c r="I53" s="416"/>
      <c r="J53" s="328"/>
      <c r="K53" s="329"/>
      <c r="L53" s="354"/>
      <c r="M53" s="350"/>
      <c r="N53" s="295"/>
      <c r="O53" s="353"/>
      <c r="P53" s="299"/>
    </row>
    <row r="54" spans="1:16" ht="30" customHeight="1" thickTop="1" thickBot="1" x14ac:dyDescent="0.35">
      <c r="A54" s="417" t="s">
        <v>88</v>
      </c>
      <c r="B54" s="417"/>
      <c r="C54" s="307"/>
      <c r="D54" s="308"/>
      <c r="E54" s="309"/>
      <c r="F54" s="326">
        <f>SUM(F52)</f>
        <v>130</v>
      </c>
      <c r="G54" s="308"/>
      <c r="H54" s="308"/>
      <c r="I54" s="310"/>
      <c r="J54" s="367"/>
      <c r="K54" s="380"/>
      <c r="L54" s="355"/>
      <c r="M54" s="387"/>
      <c r="N54" s="352"/>
      <c r="O54" s="385"/>
      <c r="P54" s="299"/>
    </row>
    <row r="55" spans="1:16" ht="60" customHeight="1" thickBot="1" x14ac:dyDescent="0.35">
      <c r="A55" s="405" t="s">
        <v>56</v>
      </c>
      <c r="B55" s="407" t="s">
        <v>56</v>
      </c>
      <c r="C55" s="409"/>
      <c r="D55" s="400"/>
      <c r="E55" s="400"/>
      <c r="F55" s="398">
        <f>VLOOKUP(B3,DataInfo[[jobNo]:[Consumables]],14,0)</f>
        <v>0</v>
      </c>
      <c r="G55" s="400"/>
      <c r="H55" s="400"/>
      <c r="I55" s="402"/>
      <c r="J55" s="356"/>
      <c r="K55" s="368"/>
      <c r="L55" s="381"/>
      <c r="M55" s="358"/>
      <c r="N55" s="389"/>
      <c r="O55" s="388"/>
      <c r="P55" s="299"/>
    </row>
    <row r="56" spans="1:16" ht="0.75" customHeight="1" thickTop="1" thickBot="1" x14ac:dyDescent="0.35">
      <c r="A56" s="406"/>
      <c r="B56" s="408"/>
      <c r="C56" s="410"/>
      <c r="D56" s="401"/>
      <c r="E56" s="401"/>
      <c r="F56" s="399"/>
      <c r="G56" s="401"/>
      <c r="H56" s="401"/>
      <c r="I56" s="403"/>
      <c r="J56" s="330"/>
      <c r="K56" s="357"/>
      <c r="L56" s="357"/>
      <c r="M56" s="370"/>
      <c r="N56" s="371"/>
      <c r="O56" s="372"/>
      <c r="P56" s="299"/>
    </row>
    <row r="57" spans="1:16" ht="30" customHeight="1" thickTop="1" thickBot="1" x14ac:dyDescent="0.35">
      <c r="A57" s="404" t="s">
        <v>89</v>
      </c>
      <c r="B57" s="404"/>
      <c r="C57" s="312"/>
      <c r="D57" s="316"/>
      <c r="E57" s="313"/>
      <c r="F57" s="327">
        <f>SUM(F55)</f>
        <v>0</v>
      </c>
      <c r="G57" s="316"/>
      <c r="H57" s="313"/>
      <c r="I57" s="314"/>
      <c r="J57" s="369"/>
      <c r="K57" s="382"/>
      <c r="L57" s="359"/>
      <c r="M57" s="373"/>
      <c r="N57" s="390"/>
      <c r="O57" s="391"/>
      <c r="P57" s="12"/>
    </row>
    <row r="58" spans="1:16" ht="24" thickBot="1" x14ac:dyDescent="0.3">
      <c r="A58" s="269" t="str">
        <f>TRIM(A1)</f>
        <v/>
      </c>
      <c r="B58" s="270"/>
      <c r="C58" s="270"/>
      <c r="D58" s="315" t="s">
        <v>41</v>
      </c>
      <c r="E58" s="317">
        <f>SUM(E26,E30)</f>
        <v>2390</v>
      </c>
      <c r="F58" s="325">
        <f>SUM(F26,F30,F36,F40,F44,F48,F51,F54,F57)</f>
        <v>225667.20000000001</v>
      </c>
      <c r="G58" s="323">
        <f>SUM(G26,G30,G36,G40,G44,G48)</f>
        <v>2390</v>
      </c>
      <c r="H58" s="322">
        <f>IFERROR(F58-G58,0)</f>
        <v>223277.2</v>
      </c>
      <c r="I58" s="321">
        <f>IFERROR(H58/$E$58,0)</f>
        <v>93.421422594142271</v>
      </c>
      <c r="J58" s="319">
        <f>IFERROR(IF(F58&lt;0.01,0,H58/F58),0)</f>
        <v>0.98940918308021719</v>
      </c>
      <c r="K58" s="318">
        <f>SUM(K26,K30,K36,K40,K44,K48)</f>
        <v>225537.2</v>
      </c>
      <c r="L58" s="271">
        <f>SUM(L26,L30,L36,L40,L44,L48)</f>
        <v>2390</v>
      </c>
      <c r="M58" s="374">
        <f>IFERROR(K58-L58,0)</f>
        <v>223147.2</v>
      </c>
      <c r="N58" s="375">
        <f>IFERROR(M58/$E$3,0)</f>
        <v>0</v>
      </c>
      <c r="O58" s="376">
        <f>IFERROR(M58/K58,0)</f>
        <v>0.98940307851653742</v>
      </c>
      <c r="P58" s="20"/>
    </row>
    <row r="59" spans="1:16" ht="12.75" customHeight="1" thickBot="1" x14ac:dyDescent="0.3">
      <c r="A59" s="272"/>
      <c r="B59" s="272"/>
      <c r="C59" s="272"/>
      <c r="D59" s="272"/>
      <c r="E59" s="273"/>
      <c r="F59" s="324"/>
      <c r="G59" s="324"/>
      <c r="H59" s="320"/>
      <c r="I59" s="320"/>
      <c r="J59" s="320"/>
      <c r="K59" s="274" t="e">
        <v>#REF!</v>
      </c>
      <c r="L59" s="275" t="e">
        <v>#REF!</v>
      </c>
      <c r="M59" s="276"/>
      <c r="N59" s="273"/>
      <c r="O59" s="277"/>
    </row>
    <row r="60" spans="1:16" x14ac:dyDescent="0.25">
      <c r="E60" s="278"/>
      <c r="F60" s="279">
        <f>IF(ABS(F58-F59)&gt; 1,F58-F59,"")</f>
        <v>225667.20000000001</v>
      </c>
      <c r="G60" s="279">
        <f>IF(ABS(G58-G59)&gt; 1,G58-G59,"")</f>
        <v>2390</v>
      </c>
      <c r="K60" s="280" t="e">
        <f>IF(ABS(K58-K59)&gt; 1,K58-K59,"")</f>
        <v>#REF!</v>
      </c>
      <c r="L60" s="280" t="e">
        <f>IF(ABS(L58-L59)&gt; 1,L58-L59,"")</f>
        <v>#REF!</v>
      </c>
      <c r="M60" s="281"/>
      <c r="O60" s="282"/>
    </row>
    <row r="61" spans="1:16" ht="38.25" customHeight="1" x14ac:dyDescent="0.25">
      <c r="A61"/>
      <c r="B61"/>
      <c r="C61"/>
      <c r="D61"/>
      <c r="E61"/>
      <c r="F61"/>
      <c r="G61"/>
      <c r="H61"/>
      <c r="I61"/>
      <c r="J61"/>
      <c r="K61"/>
      <c r="L61"/>
      <c r="M61"/>
      <c r="N61"/>
      <c r="O61"/>
      <c r="P61"/>
    </row>
    <row r="62" spans="1:16" x14ac:dyDescent="0.25">
      <c r="A62"/>
      <c r="B62"/>
      <c r="C62"/>
      <c r="D62"/>
      <c r="E62"/>
      <c r="F62"/>
      <c r="G62"/>
      <c r="H62"/>
      <c r="I62"/>
      <c r="J62"/>
      <c r="K62"/>
      <c r="L62"/>
      <c r="M62"/>
      <c r="N62"/>
      <c r="O62"/>
      <c r="P62"/>
    </row>
    <row r="63" spans="1:16" x14ac:dyDescent="0.25">
      <c r="A63"/>
      <c r="B63"/>
      <c r="C63"/>
      <c r="D63"/>
      <c r="E63"/>
      <c r="F63"/>
      <c r="G63"/>
      <c r="H63"/>
      <c r="I63"/>
      <c r="J63"/>
      <c r="K63"/>
      <c r="L63"/>
      <c r="M63"/>
      <c r="N63"/>
      <c r="O63"/>
      <c r="P63"/>
    </row>
    <row r="64" spans="1:16" ht="20.25" customHeight="1" x14ac:dyDescent="0.25">
      <c r="A64"/>
      <c r="B64"/>
      <c r="C64"/>
      <c r="D64"/>
      <c r="E64"/>
      <c r="F64"/>
      <c r="G64"/>
      <c r="H64"/>
      <c r="I64"/>
      <c r="J64"/>
      <c r="K64"/>
      <c r="L64"/>
      <c r="M64"/>
      <c r="N64"/>
      <c r="O64"/>
      <c r="P64"/>
    </row>
    <row r="65" spans="1:16" ht="20.25" customHeight="1" x14ac:dyDescent="0.25">
      <c r="A65"/>
      <c r="B65"/>
      <c r="C65"/>
      <c r="D65"/>
      <c r="E65"/>
      <c r="F65"/>
      <c r="G65"/>
      <c r="H65"/>
      <c r="I65"/>
      <c r="J65"/>
      <c r="K65"/>
      <c r="L65"/>
      <c r="M65"/>
      <c r="N65"/>
      <c r="O65"/>
      <c r="P65"/>
    </row>
    <row r="66" spans="1:16" ht="20.25" customHeight="1" x14ac:dyDescent="0.25">
      <c r="A66"/>
      <c r="B66"/>
      <c r="C66"/>
      <c r="D66"/>
      <c r="E66"/>
      <c r="F66"/>
      <c r="G66"/>
      <c r="H66"/>
      <c r="I66"/>
      <c r="J66"/>
      <c r="K66"/>
      <c r="L66"/>
      <c r="M66"/>
      <c r="N66"/>
      <c r="O66"/>
      <c r="P66"/>
    </row>
    <row r="67" spans="1:16" ht="20.25" customHeight="1" x14ac:dyDescent="0.25">
      <c r="A67"/>
      <c r="B67"/>
      <c r="C67"/>
      <c r="D67"/>
      <c r="E67"/>
      <c r="F67"/>
      <c r="G67"/>
      <c r="H67"/>
      <c r="I67"/>
      <c r="J67"/>
      <c r="K67"/>
      <c r="L67"/>
      <c r="M67"/>
      <c r="N67"/>
      <c r="O67"/>
      <c r="P67"/>
    </row>
    <row r="68" spans="1:16" ht="20.25" customHeight="1" x14ac:dyDescent="0.25">
      <c r="A68"/>
      <c r="B68"/>
      <c r="C68"/>
      <c r="D68"/>
      <c r="E68"/>
      <c r="F68"/>
      <c r="G68"/>
      <c r="H68"/>
      <c r="I68"/>
      <c r="J68"/>
      <c r="K68"/>
      <c r="L68"/>
      <c r="M68"/>
      <c r="N68"/>
      <c r="O68"/>
      <c r="P68"/>
    </row>
    <row r="69" spans="1:16" ht="20.25" customHeight="1" x14ac:dyDescent="0.25">
      <c r="A69"/>
      <c r="B69"/>
      <c r="C69"/>
      <c r="D69"/>
      <c r="E69"/>
      <c r="F69"/>
      <c r="G69"/>
      <c r="H69"/>
      <c r="I69"/>
      <c r="J69"/>
      <c r="K69"/>
      <c r="L69"/>
      <c r="M69"/>
      <c r="N69"/>
      <c r="O69"/>
      <c r="P69"/>
    </row>
    <row r="70" spans="1:16" ht="20.25" customHeight="1" x14ac:dyDescent="0.25">
      <c r="A70"/>
      <c r="B70"/>
      <c r="C70"/>
      <c r="D70"/>
      <c r="E70"/>
      <c r="F70"/>
      <c r="G70"/>
      <c r="H70"/>
      <c r="I70"/>
      <c r="J70"/>
      <c r="K70"/>
      <c r="L70"/>
      <c r="M70"/>
      <c r="N70"/>
      <c r="O70"/>
      <c r="P70"/>
    </row>
    <row r="71" spans="1:16" ht="20.25" customHeight="1" x14ac:dyDescent="0.25">
      <c r="A71"/>
      <c r="B71"/>
      <c r="C71"/>
      <c r="D71"/>
      <c r="E71"/>
      <c r="F71"/>
      <c r="G71"/>
      <c r="H71"/>
      <c r="I71"/>
      <c r="J71"/>
      <c r="K71"/>
      <c r="L71"/>
      <c r="M71"/>
      <c r="N71"/>
      <c r="O71"/>
      <c r="P71"/>
    </row>
    <row r="72" spans="1:16" ht="20.25" customHeight="1" x14ac:dyDescent="0.25">
      <c r="A72"/>
      <c r="B72"/>
      <c r="C72"/>
      <c r="D72"/>
      <c r="E72"/>
      <c r="F72"/>
      <c r="G72"/>
      <c r="H72"/>
      <c r="I72"/>
      <c r="J72"/>
      <c r="K72"/>
      <c r="L72"/>
      <c r="M72"/>
      <c r="N72"/>
      <c r="O72"/>
      <c r="P72"/>
    </row>
    <row r="73" spans="1:16" ht="20.25" customHeight="1" x14ac:dyDescent="0.25">
      <c r="A73"/>
      <c r="B73"/>
      <c r="C73"/>
      <c r="D73"/>
      <c r="E73"/>
      <c r="F73"/>
      <c r="G73"/>
      <c r="H73"/>
      <c r="I73"/>
      <c r="J73"/>
      <c r="K73"/>
      <c r="L73"/>
      <c r="M73"/>
      <c r="N73"/>
      <c r="O73"/>
      <c r="P73"/>
    </row>
    <row r="74" spans="1:16" ht="20.25" customHeight="1" x14ac:dyDescent="0.25">
      <c r="A74"/>
      <c r="B74"/>
      <c r="C74"/>
      <c r="D74"/>
      <c r="E74"/>
      <c r="F74"/>
      <c r="G74"/>
      <c r="H74"/>
      <c r="I74"/>
      <c r="J74"/>
      <c r="K74"/>
      <c r="L74"/>
      <c r="M74"/>
      <c r="N74"/>
      <c r="O74"/>
      <c r="P74"/>
    </row>
    <row r="75" spans="1:16" ht="20.25" customHeight="1" x14ac:dyDescent="0.25">
      <c r="A75"/>
      <c r="B75"/>
      <c r="C75"/>
      <c r="D75"/>
      <c r="E75"/>
      <c r="F75"/>
      <c r="G75"/>
      <c r="H75"/>
      <c r="I75"/>
      <c r="J75"/>
      <c r="K75"/>
      <c r="L75"/>
      <c r="M75"/>
      <c r="N75"/>
      <c r="O75"/>
      <c r="P75"/>
    </row>
    <row r="76" spans="1:16" ht="20.25" customHeight="1" x14ac:dyDescent="0.25">
      <c r="A76"/>
      <c r="B76"/>
      <c r="C76"/>
      <c r="D76"/>
      <c r="E76"/>
      <c r="F76"/>
      <c r="G76"/>
      <c r="H76"/>
      <c r="I76"/>
      <c r="J76"/>
      <c r="K76"/>
      <c r="L76"/>
      <c r="M76"/>
      <c r="N76"/>
      <c r="O76"/>
      <c r="P76"/>
    </row>
    <row r="77" spans="1:16" ht="20.25" customHeight="1" x14ac:dyDescent="0.25">
      <c r="A77"/>
      <c r="B77"/>
      <c r="C77"/>
      <c r="D77"/>
      <c r="E77"/>
      <c r="F77"/>
      <c r="G77"/>
      <c r="H77"/>
      <c r="I77"/>
      <c r="J77"/>
      <c r="K77"/>
      <c r="L77"/>
      <c r="M77"/>
      <c r="N77"/>
      <c r="O77"/>
      <c r="P77"/>
    </row>
    <row r="78" spans="1:16" ht="20.25" customHeight="1" x14ac:dyDescent="0.25">
      <c r="A78"/>
      <c r="B78"/>
      <c r="C78"/>
      <c r="D78"/>
      <c r="E78"/>
      <c r="F78"/>
      <c r="G78"/>
      <c r="H78"/>
      <c r="I78"/>
      <c r="J78"/>
      <c r="K78"/>
      <c r="L78"/>
      <c r="M78"/>
      <c r="N78"/>
      <c r="O78"/>
      <c r="P78"/>
    </row>
    <row r="79" spans="1:16" ht="20.25" customHeight="1" x14ac:dyDescent="0.25">
      <c r="A79"/>
      <c r="B79"/>
      <c r="C79"/>
      <c r="D79"/>
      <c r="E79"/>
      <c r="F79"/>
      <c r="G79"/>
      <c r="H79"/>
      <c r="I79"/>
      <c r="J79"/>
      <c r="K79"/>
      <c r="L79"/>
      <c r="M79"/>
      <c r="N79"/>
      <c r="O79"/>
      <c r="P79"/>
    </row>
    <row r="80" spans="1:16" ht="20.25" customHeight="1" x14ac:dyDescent="0.25">
      <c r="A80"/>
      <c r="B80"/>
      <c r="C80"/>
      <c r="D80"/>
      <c r="E80"/>
      <c r="F80"/>
      <c r="G80"/>
      <c r="H80"/>
      <c r="I80"/>
      <c r="J80"/>
      <c r="K80"/>
      <c r="L80"/>
      <c r="M80"/>
      <c r="N80"/>
      <c r="O80"/>
      <c r="P80"/>
    </row>
    <row r="81" spans="1:16" ht="20.25" customHeight="1" x14ac:dyDescent="0.25">
      <c r="A81"/>
      <c r="B81"/>
      <c r="C81"/>
      <c r="D81"/>
      <c r="E81"/>
      <c r="F81"/>
      <c r="G81"/>
      <c r="H81"/>
      <c r="I81"/>
      <c r="J81"/>
      <c r="K81"/>
      <c r="L81"/>
      <c r="M81"/>
      <c r="N81"/>
      <c r="O81"/>
      <c r="P81"/>
    </row>
    <row r="82" spans="1:16" ht="20.25" customHeight="1" x14ac:dyDescent="0.25">
      <c r="A82"/>
      <c r="B82"/>
      <c r="C82"/>
      <c r="D82"/>
      <c r="E82"/>
      <c r="F82"/>
      <c r="G82"/>
      <c r="H82"/>
      <c r="I82"/>
      <c r="J82"/>
      <c r="K82"/>
      <c r="L82"/>
      <c r="M82"/>
      <c r="N82"/>
      <c r="O82"/>
      <c r="P82"/>
    </row>
    <row r="83" spans="1:16" ht="20.25" customHeight="1" x14ac:dyDescent="0.25">
      <c r="A83"/>
      <c r="B83"/>
      <c r="C83"/>
      <c r="D83"/>
      <c r="E83"/>
      <c r="F83"/>
      <c r="G83"/>
      <c r="H83"/>
      <c r="I83"/>
      <c r="J83"/>
      <c r="K83"/>
      <c r="L83"/>
      <c r="M83"/>
      <c r="N83"/>
      <c r="O83"/>
      <c r="P83"/>
    </row>
    <row r="84" spans="1:16" ht="20.25" customHeight="1" x14ac:dyDescent="0.25">
      <c r="A84"/>
      <c r="B84"/>
      <c r="C84"/>
      <c r="D84"/>
      <c r="E84"/>
      <c r="F84"/>
      <c r="G84"/>
      <c r="H84"/>
      <c r="I84"/>
      <c r="J84"/>
      <c r="K84"/>
      <c r="L84"/>
      <c r="M84"/>
      <c r="N84"/>
      <c r="O84"/>
      <c r="P84"/>
    </row>
    <row r="85" spans="1:16" ht="20.25" customHeight="1" x14ac:dyDescent="0.25">
      <c r="A85"/>
      <c r="B85"/>
      <c r="C85"/>
      <c r="D85"/>
      <c r="E85"/>
      <c r="F85"/>
      <c r="G85"/>
      <c r="H85"/>
      <c r="I85"/>
      <c r="J85"/>
      <c r="K85"/>
      <c r="L85"/>
      <c r="M85"/>
      <c r="N85"/>
      <c r="O85"/>
      <c r="P85"/>
    </row>
    <row r="86" spans="1:16" ht="20.25" customHeight="1" x14ac:dyDescent="0.25">
      <c r="A86"/>
      <c r="B86"/>
      <c r="C86"/>
      <c r="D86"/>
      <c r="E86"/>
      <c r="F86"/>
      <c r="G86"/>
      <c r="H86"/>
      <c r="I86"/>
      <c r="J86"/>
      <c r="K86"/>
      <c r="L86"/>
      <c r="M86"/>
      <c r="N86"/>
      <c r="O86"/>
      <c r="P86"/>
    </row>
    <row r="87" spans="1:16" ht="20.25" customHeight="1" x14ac:dyDescent="0.25">
      <c r="A87"/>
      <c r="B87"/>
      <c r="C87"/>
      <c r="D87"/>
      <c r="E87"/>
      <c r="F87"/>
      <c r="G87"/>
      <c r="H87"/>
      <c r="I87"/>
      <c r="J87"/>
      <c r="K87"/>
      <c r="L87"/>
      <c r="M87"/>
      <c r="N87"/>
      <c r="O87"/>
      <c r="P87"/>
    </row>
    <row r="88" spans="1:16" ht="20.25" customHeight="1" x14ac:dyDescent="0.25">
      <c r="A88"/>
      <c r="B88"/>
      <c r="C88"/>
      <c r="D88"/>
      <c r="E88"/>
      <c r="F88"/>
      <c r="G88"/>
      <c r="H88"/>
      <c r="I88"/>
      <c r="J88"/>
      <c r="K88"/>
      <c r="L88"/>
      <c r="M88"/>
      <c r="N88"/>
      <c r="O88"/>
      <c r="P88"/>
    </row>
    <row r="89" spans="1:16" ht="20.25" customHeight="1" x14ac:dyDescent="0.25">
      <c r="A89"/>
      <c r="B89"/>
      <c r="C89"/>
      <c r="D89"/>
      <c r="E89"/>
      <c r="F89"/>
      <c r="G89"/>
      <c r="H89"/>
      <c r="I89"/>
      <c r="J89"/>
      <c r="K89"/>
      <c r="L89"/>
      <c r="M89"/>
      <c r="N89"/>
      <c r="O89"/>
      <c r="P89"/>
    </row>
    <row r="90" spans="1:16" ht="20.25" customHeight="1" x14ac:dyDescent="0.25">
      <c r="A90"/>
      <c r="B90"/>
      <c r="C90"/>
      <c r="D90"/>
      <c r="E90"/>
      <c r="F90"/>
      <c r="G90"/>
      <c r="H90"/>
      <c r="I90"/>
      <c r="J90"/>
      <c r="K90"/>
      <c r="L90"/>
      <c r="M90"/>
      <c r="N90"/>
      <c r="O90"/>
      <c r="P90"/>
    </row>
    <row r="91" spans="1:16" ht="20.25" customHeight="1" x14ac:dyDescent="0.25">
      <c r="A91"/>
      <c r="B91"/>
      <c r="C91"/>
      <c r="D91"/>
      <c r="E91"/>
      <c r="F91"/>
      <c r="G91"/>
      <c r="H91"/>
      <c r="I91"/>
      <c r="J91"/>
      <c r="K91"/>
      <c r="L91"/>
      <c r="M91"/>
      <c r="N91"/>
      <c r="O91"/>
      <c r="P91"/>
    </row>
    <row r="92" spans="1:16" ht="20.25" customHeight="1" x14ac:dyDescent="0.25">
      <c r="A92"/>
      <c r="B92"/>
      <c r="C92"/>
      <c r="D92"/>
      <c r="E92"/>
      <c r="F92"/>
      <c r="G92"/>
      <c r="H92"/>
      <c r="I92"/>
      <c r="J92"/>
      <c r="K92"/>
      <c r="L92"/>
      <c r="M92"/>
      <c r="N92"/>
      <c r="O92"/>
      <c r="P92"/>
    </row>
    <row r="93" spans="1:16" ht="20.25" customHeight="1" x14ac:dyDescent="0.25">
      <c r="A93"/>
      <c r="B93"/>
      <c r="C93"/>
      <c r="D93"/>
      <c r="E93"/>
      <c r="F93"/>
      <c r="G93"/>
      <c r="H93"/>
      <c r="I93"/>
      <c r="J93"/>
      <c r="K93"/>
      <c r="L93"/>
      <c r="M93"/>
      <c r="N93"/>
      <c r="O93"/>
      <c r="P93"/>
    </row>
    <row r="94" spans="1:16" ht="20.25" customHeight="1" x14ac:dyDescent="0.25">
      <c r="A94"/>
      <c r="B94"/>
      <c r="C94"/>
      <c r="D94"/>
      <c r="E94"/>
      <c r="F94"/>
      <c r="G94"/>
      <c r="H94"/>
      <c r="I94"/>
      <c r="J94"/>
      <c r="K94"/>
      <c r="L94"/>
      <c r="M94"/>
      <c r="N94"/>
      <c r="O94"/>
      <c r="P94"/>
    </row>
    <row r="95" spans="1:16" ht="20.25" customHeight="1" x14ac:dyDescent="0.25">
      <c r="A95"/>
      <c r="B95"/>
      <c r="C95"/>
      <c r="D95"/>
      <c r="E95"/>
      <c r="F95"/>
      <c r="G95"/>
      <c r="H95"/>
      <c r="I95"/>
      <c r="J95"/>
      <c r="K95"/>
      <c r="L95"/>
      <c r="M95"/>
      <c r="N95"/>
      <c r="O95"/>
      <c r="P95"/>
    </row>
    <row r="96" spans="1:16" ht="20.25" customHeight="1" x14ac:dyDescent="0.25">
      <c r="A96"/>
      <c r="B96"/>
      <c r="C96"/>
      <c r="D96"/>
      <c r="E96"/>
      <c r="F96"/>
      <c r="G96"/>
      <c r="H96"/>
      <c r="I96"/>
      <c r="J96"/>
      <c r="K96"/>
      <c r="L96"/>
      <c r="M96"/>
      <c r="N96"/>
      <c r="O96"/>
      <c r="P96"/>
    </row>
    <row r="97" spans="1:16" ht="20.25" customHeight="1" x14ac:dyDescent="0.25">
      <c r="A97"/>
      <c r="B97"/>
      <c r="C97"/>
      <c r="D97"/>
      <c r="E97"/>
      <c r="F97"/>
      <c r="G97"/>
      <c r="H97"/>
      <c r="I97"/>
      <c r="J97"/>
      <c r="K97"/>
      <c r="L97"/>
      <c r="M97"/>
      <c r="N97"/>
      <c r="O97"/>
      <c r="P97"/>
    </row>
    <row r="98" spans="1:16" ht="20.25" customHeight="1" x14ac:dyDescent="0.25">
      <c r="A98"/>
      <c r="B98"/>
      <c r="C98"/>
      <c r="D98"/>
      <c r="E98"/>
      <c r="F98"/>
      <c r="G98"/>
      <c r="H98"/>
      <c r="I98"/>
      <c r="J98"/>
      <c r="K98"/>
      <c r="L98"/>
      <c r="M98"/>
      <c r="N98"/>
      <c r="O98"/>
      <c r="P98"/>
    </row>
    <row r="99" spans="1:16" ht="20.25" customHeight="1" x14ac:dyDescent="0.25">
      <c r="A99"/>
      <c r="B99"/>
      <c r="C99"/>
      <c r="D99"/>
      <c r="E99"/>
      <c r="F99"/>
      <c r="G99"/>
      <c r="H99"/>
      <c r="I99"/>
      <c r="J99"/>
      <c r="K99"/>
      <c r="L99"/>
      <c r="M99"/>
      <c r="N99"/>
      <c r="O99"/>
      <c r="P99"/>
    </row>
    <row r="100" spans="1:16" ht="20.25" customHeight="1" x14ac:dyDescent="0.25">
      <c r="A100"/>
      <c r="B100"/>
      <c r="C100"/>
      <c r="D100"/>
      <c r="E100"/>
      <c r="F100"/>
      <c r="G100"/>
      <c r="H100"/>
      <c r="I100"/>
      <c r="J100"/>
      <c r="K100"/>
      <c r="L100"/>
      <c r="M100"/>
      <c r="N100"/>
      <c r="O100"/>
      <c r="P100"/>
    </row>
    <row r="101" spans="1:16" ht="20.25" customHeight="1" x14ac:dyDescent="0.25">
      <c r="A101"/>
      <c r="B101"/>
      <c r="C101"/>
      <c r="D101"/>
      <c r="E101"/>
      <c r="F101"/>
      <c r="G101"/>
      <c r="H101"/>
      <c r="I101"/>
      <c r="J101"/>
      <c r="K101"/>
      <c r="L101"/>
      <c r="M101"/>
      <c r="N101"/>
      <c r="O101"/>
      <c r="P101"/>
    </row>
    <row r="102" spans="1:16" ht="20.25" customHeight="1" x14ac:dyDescent="0.25">
      <c r="A102"/>
      <c r="B102"/>
      <c r="C102"/>
      <c r="D102"/>
      <c r="E102"/>
      <c r="F102"/>
      <c r="G102"/>
      <c r="H102"/>
      <c r="I102"/>
      <c r="J102"/>
      <c r="K102"/>
      <c r="L102"/>
      <c r="M102"/>
      <c r="N102"/>
      <c r="O102"/>
      <c r="P102"/>
    </row>
    <row r="103" spans="1:16" ht="20.25" customHeight="1" x14ac:dyDescent="0.25">
      <c r="A103"/>
      <c r="B103"/>
      <c r="C103"/>
      <c r="D103"/>
      <c r="E103"/>
      <c r="F103"/>
      <c r="G103"/>
      <c r="H103"/>
      <c r="I103"/>
      <c r="J103"/>
      <c r="K103"/>
      <c r="L103"/>
      <c r="M103"/>
      <c r="N103"/>
      <c r="O103"/>
      <c r="P103"/>
    </row>
    <row r="104" spans="1:16" ht="20.25" customHeight="1" x14ac:dyDescent="0.25">
      <c r="A104"/>
      <c r="B104"/>
      <c r="C104"/>
      <c r="D104"/>
      <c r="E104"/>
      <c r="F104"/>
      <c r="G104"/>
      <c r="H104"/>
      <c r="I104"/>
      <c r="J104"/>
      <c r="K104"/>
      <c r="L104"/>
      <c r="M104"/>
      <c r="N104"/>
      <c r="O104"/>
      <c r="P104"/>
    </row>
    <row r="105" spans="1:16" ht="20.25" customHeight="1" x14ac:dyDescent="0.25">
      <c r="A105"/>
      <c r="B105"/>
      <c r="C105"/>
      <c r="D105"/>
      <c r="E105"/>
      <c r="F105"/>
      <c r="G105"/>
      <c r="H105"/>
      <c r="I105"/>
      <c r="J105"/>
      <c r="K105"/>
      <c r="L105"/>
      <c r="M105"/>
      <c r="N105"/>
      <c r="O105"/>
      <c r="P105"/>
    </row>
    <row r="106" spans="1:16" ht="20.25" customHeight="1" x14ac:dyDescent="0.25">
      <c r="A106"/>
      <c r="B106"/>
      <c r="C106"/>
      <c r="D106"/>
      <c r="E106"/>
      <c r="F106"/>
      <c r="G106"/>
      <c r="H106"/>
      <c r="I106"/>
      <c r="J106"/>
      <c r="K106"/>
      <c r="L106"/>
      <c r="M106"/>
      <c r="N106"/>
      <c r="O106"/>
      <c r="P106"/>
    </row>
    <row r="107" spans="1:16" ht="20.25" customHeight="1" x14ac:dyDescent="0.25">
      <c r="A107"/>
      <c r="B107"/>
      <c r="C107"/>
      <c r="D107"/>
      <c r="E107"/>
      <c r="F107"/>
      <c r="G107"/>
      <c r="H107"/>
      <c r="I107"/>
      <c r="J107"/>
      <c r="K107"/>
      <c r="L107"/>
      <c r="M107"/>
      <c r="N107"/>
      <c r="O107"/>
      <c r="P107"/>
    </row>
    <row r="108" spans="1:16" ht="20.25" customHeight="1" x14ac:dyDescent="0.25">
      <c r="A108"/>
      <c r="B108"/>
      <c r="C108"/>
      <c r="D108"/>
      <c r="E108"/>
      <c r="F108"/>
      <c r="G108"/>
      <c r="H108"/>
      <c r="I108"/>
      <c r="J108"/>
      <c r="K108"/>
      <c r="L108"/>
      <c r="M108"/>
      <c r="N108"/>
      <c r="O108"/>
      <c r="P108"/>
    </row>
    <row r="109" spans="1:16" ht="20.25" customHeight="1" x14ac:dyDescent="0.25">
      <c r="A109"/>
      <c r="B109"/>
      <c r="C109"/>
      <c r="D109"/>
      <c r="E109"/>
      <c r="F109"/>
      <c r="G109"/>
      <c r="H109"/>
      <c r="I109"/>
      <c r="J109"/>
      <c r="K109"/>
      <c r="L109"/>
      <c r="M109"/>
      <c r="N109"/>
      <c r="O109"/>
      <c r="P109"/>
    </row>
    <row r="110" spans="1:16" ht="20.25" customHeight="1" x14ac:dyDescent="0.25">
      <c r="A110"/>
      <c r="B110"/>
      <c r="C110"/>
      <c r="D110"/>
      <c r="E110"/>
      <c r="F110"/>
      <c r="G110"/>
      <c r="H110"/>
      <c r="I110"/>
      <c r="J110"/>
      <c r="K110"/>
      <c r="L110"/>
      <c r="M110"/>
      <c r="N110"/>
      <c r="O110"/>
      <c r="P110"/>
    </row>
    <row r="111" spans="1:16" ht="20.25" customHeight="1" x14ac:dyDescent="0.25">
      <c r="A111"/>
      <c r="B111"/>
      <c r="C111"/>
      <c r="D111"/>
      <c r="E111"/>
      <c r="F111"/>
      <c r="G111"/>
      <c r="H111"/>
      <c r="I111"/>
      <c r="J111"/>
      <c r="K111"/>
      <c r="L111"/>
      <c r="M111"/>
      <c r="N111"/>
      <c r="O111"/>
      <c r="P111"/>
    </row>
    <row r="112" spans="1:16" ht="20.25" customHeight="1" x14ac:dyDescent="0.25">
      <c r="A112"/>
      <c r="B112"/>
      <c r="C112"/>
      <c r="D112"/>
      <c r="E112"/>
      <c r="F112"/>
      <c r="G112"/>
      <c r="H112"/>
      <c r="I112"/>
      <c r="J112"/>
      <c r="K112"/>
      <c r="L112"/>
      <c r="M112"/>
      <c r="N112"/>
      <c r="O112"/>
      <c r="P112"/>
    </row>
    <row r="113" spans="1:16" ht="20.25" customHeight="1" x14ac:dyDescent="0.25">
      <c r="A113"/>
      <c r="B113"/>
      <c r="C113"/>
      <c r="D113"/>
      <c r="E113"/>
      <c r="F113"/>
      <c r="G113"/>
      <c r="H113"/>
      <c r="I113"/>
      <c r="J113"/>
      <c r="K113"/>
      <c r="L113"/>
      <c r="M113"/>
      <c r="N113"/>
      <c r="O113"/>
      <c r="P113"/>
    </row>
    <row r="114" spans="1:16" ht="20.25" customHeight="1" x14ac:dyDescent="0.25">
      <c r="A114"/>
      <c r="B114"/>
      <c r="C114"/>
      <c r="D114"/>
      <c r="E114"/>
      <c r="F114"/>
      <c r="G114"/>
      <c r="H114"/>
      <c r="I114"/>
      <c r="J114"/>
      <c r="K114"/>
      <c r="L114"/>
      <c r="M114"/>
      <c r="N114"/>
      <c r="O114"/>
      <c r="P114"/>
    </row>
    <row r="115" spans="1:16" ht="20.25" customHeight="1" x14ac:dyDescent="0.25">
      <c r="A115"/>
      <c r="B115"/>
      <c r="C115"/>
      <c r="D115"/>
      <c r="E115"/>
      <c r="F115"/>
      <c r="G115"/>
      <c r="H115"/>
      <c r="I115"/>
      <c r="J115"/>
      <c r="K115"/>
      <c r="L115"/>
      <c r="M115"/>
      <c r="N115"/>
      <c r="O115"/>
      <c r="P115"/>
    </row>
    <row r="116" spans="1:16" ht="20.25" customHeight="1" x14ac:dyDescent="0.25">
      <c r="A116"/>
      <c r="B116"/>
      <c r="C116"/>
      <c r="D116"/>
      <c r="E116"/>
      <c r="F116"/>
      <c r="G116"/>
      <c r="H116"/>
      <c r="I116"/>
      <c r="J116"/>
      <c r="K116"/>
      <c r="L116"/>
      <c r="M116"/>
      <c r="N116"/>
      <c r="O116"/>
      <c r="P116"/>
    </row>
    <row r="117" spans="1:16" ht="20.25" customHeight="1" x14ac:dyDescent="0.25">
      <c r="A117"/>
      <c r="B117"/>
      <c r="C117"/>
      <c r="D117"/>
      <c r="E117"/>
      <c r="F117"/>
      <c r="G117"/>
      <c r="H117"/>
      <c r="I117"/>
      <c r="J117"/>
      <c r="K117"/>
      <c r="L117"/>
      <c r="M117"/>
      <c r="N117"/>
      <c r="O117"/>
      <c r="P117"/>
    </row>
    <row r="118" spans="1:16" ht="20.25" customHeight="1" x14ac:dyDescent="0.25">
      <c r="A118"/>
      <c r="B118"/>
      <c r="C118"/>
      <c r="D118"/>
      <c r="E118"/>
      <c r="F118"/>
      <c r="G118"/>
      <c r="H118"/>
      <c r="I118"/>
      <c r="J118"/>
      <c r="K118"/>
      <c r="L118"/>
      <c r="M118"/>
      <c r="N118"/>
      <c r="O118"/>
      <c r="P118"/>
    </row>
    <row r="119" spans="1:16" ht="20.25" customHeight="1" x14ac:dyDescent="0.25">
      <c r="A119"/>
      <c r="B119"/>
      <c r="C119"/>
      <c r="D119"/>
      <c r="E119"/>
      <c r="F119"/>
      <c r="G119"/>
      <c r="H119"/>
      <c r="I119"/>
      <c r="J119"/>
      <c r="K119"/>
      <c r="L119"/>
      <c r="M119"/>
      <c r="N119"/>
      <c r="O119"/>
      <c r="P119"/>
    </row>
    <row r="120" spans="1:16" ht="20.25" customHeight="1" x14ac:dyDescent="0.25">
      <c r="A120"/>
      <c r="B120"/>
      <c r="C120"/>
      <c r="D120"/>
      <c r="E120"/>
      <c r="F120"/>
      <c r="G120"/>
      <c r="H120"/>
      <c r="I120"/>
      <c r="J120"/>
      <c r="K120"/>
      <c r="L120"/>
      <c r="M120"/>
      <c r="N120"/>
      <c r="O120"/>
      <c r="P120"/>
    </row>
    <row r="121" spans="1:16" ht="20.25" customHeight="1" x14ac:dyDescent="0.25">
      <c r="A121"/>
      <c r="B121"/>
      <c r="C121"/>
      <c r="D121"/>
      <c r="E121"/>
      <c r="F121"/>
      <c r="G121"/>
      <c r="H121"/>
      <c r="I121"/>
      <c r="J121"/>
      <c r="K121"/>
      <c r="L121"/>
      <c r="M121"/>
      <c r="N121"/>
      <c r="O121"/>
      <c r="P121"/>
    </row>
    <row r="122" spans="1:16" ht="20.25" customHeight="1" x14ac:dyDescent="0.25">
      <c r="A122"/>
      <c r="B122"/>
      <c r="C122"/>
      <c r="D122"/>
      <c r="E122"/>
      <c r="F122"/>
      <c r="G122"/>
      <c r="H122"/>
      <c r="I122"/>
      <c r="J122"/>
      <c r="K122"/>
      <c r="L122"/>
      <c r="M122"/>
      <c r="N122"/>
      <c r="O122"/>
      <c r="P122"/>
    </row>
    <row r="123" spans="1:16" ht="20.25" customHeight="1" x14ac:dyDescent="0.25">
      <c r="A123"/>
      <c r="B123"/>
      <c r="C123"/>
      <c r="D123"/>
      <c r="E123"/>
      <c r="F123"/>
      <c r="G123"/>
      <c r="H123"/>
      <c r="I123"/>
      <c r="J123"/>
      <c r="K123"/>
      <c r="L123"/>
      <c r="M123"/>
      <c r="N123"/>
      <c r="O123"/>
      <c r="P123"/>
    </row>
    <row r="124" spans="1:16" ht="20.25" customHeight="1" x14ac:dyDescent="0.25">
      <c r="A124"/>
      <c r="B124"/>
      <c r="C124"/>
      <c r="D124"/>
      <c r="E124"/>
      <c r="F124"/>
      <c r="G124"/>
      <c r="H124"/>
      <c r="I124"/>
      <c r="J124"/>
      <c r="K124"/>
      <c r="L124"/>
      <c r="M124"/>
      <c r="N124"/>
      <c r="O124"/>
      <c r="P124"/>
    </row>
    <row r="125" spans="1:16" ht="20.25" customHeight="1" x14ac:dyDescent="0.25">
      <c r="A125"/>
      <c r="B125"/>
      <c r="C125"/>
      <c r="D125"/>
      <c r="E125"/>
      <c r="F125"/>
      <c r="G125"/>
      <c r="H125"/>
      <c r="I125"/>
      <c r="J125"/>
      <c r="K125"/>
      <c r="L125"/>
      <c r="M125"/>
      <c r="N125"/>
      <c r="O125"/>
      <c r="P125"/>
    </row>
    <row r="126" spans="1:16" ht="20.25" customHeight="1" x14ac:dyDescent="0.25">
      <c r="A126"/>
      <c r="B126"/>
      <c r="C126"/>
      <c r="D126"/>
      <c r="E126"/>
      <c r="F126"/>
      <c r="G126"/>
      <c r="H126"/>
      <c r="I126"/>
      <c r="J126"/>
      <c r="K126"/>
      <c r="L126"/>
      <c r="M126"/>
      <c r="N126"/>
      <c r="O126"/>
      <c r="P126"/>
    </row>
    <row r="127" spans="1:16" ht="20.25" customHeight="1" x14ac:dyDescent="0.25">
      <c r="A127"/>
      <c r="B127"/>
      <c r="C127"/>
      <c r="D127"/>
      <c r="E127"/>
      <c r="F127"/>
      <c r="G127"/>
      <c r="H127"/>
      <c r="I127"/>
      <c r="J127"/>
      <c r="K127"/>
      <c r="L127"/>
      <c r="M127"/>
      <c r="N127"/>
      <c r="O127"/>
      <c r="P127"/>
    </row>
    <row r="128" spans="1:16" ht="20.25" customHeight="1" x14ac:dyDescent="0.25">
      <c r="A128"/>
      <c r="B128"/>
      <c r="C128"/>
      <c r="D128"/>
      <c r="E128"/>
      <c r="F128"/>
      <c r="G128"/>
      <c r="H128"/>
      <c r="I128"/>
      <c r="J128"/>
      <c r="K128"/>
      <c r="L128"/>
      <c r="M128"/>
      <c r="N128"/>
      <c r="O128"/>
      <c r="P128"/>
    </row>
    <row r="129" spans="1:16" ht="20.25" customHeight="1" x14ac:dyDescent="0.25">
      <c r="A129"/>
      <c r="B129"/>
      <c r="C129"/>
      <c r="D129"/>
      <c r="E129"/>
      <c r="F129"/>
      <c r="G129"/>
      <c r="H129"/>
      <c r="I129"/>
      <c r="J129"/>
      <c r="K129"/>
      <c r="L129"/>
      <c r="M129"/>
      <c r="N129"/>
      <c r="O129"/>
      <c r="P129"/>
    </row>
    <row r="130" spans="1:16" ht="20.25" customHeight="1" x14ac:dyDescent="0.25">
      <c r="A130"/>
      <c r="B130"/>
      <c r="C130"/>
      <c r="D130"/>
      <c r="E130"/>
      <c r="F130"/>
      <c r="G130"/>
      <c r="H130"/>
      <c r="I130"/>
      <c r="J130"/>
      <c r="K130"/>
      <c r="L130"/>
      <c r="M130"/>
      <c r="N130"/>
      <c r="O130"/>
      <c r="P130"/>
    </row>
    <row r="131" spans="1:16" ht="20.25" customHeight="1" x14ac:dyDescent="0.25">
      <c r="A131"/>
      <c r="B131"/>
      <c r="C131"/>
      <c r="D131"/>
      <c r="E131"/>
      <c r="F131"/>
      <c r="G131"/>
      <c r="H131"/>
      <c r="I131"/>
      <c r="J131"/>
      <c r="K131"/>
      <c r="L131"/>
      <c r="M131"/>
      <c r="N131"/>
      <c r="O131"/>
      <c r="P131"/>
    </row>
    <row r="132" spans="1:16" ht="20.25" customHeight="1" x14ac:dyDescent="0.25">
      <c r="A132"/>
      <c r="B132"/>
      <c r="C132"/>
      <c r="D132"/>
      <c r="E132"/>
      <c r="F132"/>
      <c r="G132"/>
      <c r="H132"/>
      <c r="I132"/>
      <c r="J132"/>
      <c r="K132"/>
      <c r="L132"/>
      <c r="M132"/>
      <c r="N132"/>
      <c r="O132"/>
      <c r="P132"/>
    </row>
    <row r="133" spans="1:16" ht="20.25" customHeight="1" x14ac:dyDescent="0.25">
      <c r="A133"/>
      <c r="B133"/>
      <c r="C133"/>
      <c r="D133"/>
      <c r="E133"/>
      <c r="F133"/>
      <c r="G133"/>
      <c r="H133"/>
      <c r="I133"/>
      <c r="J133"/>
      <c r="K133"/>
      <c r="L133"/>
      <c r="M133"/>
      <c r="N133"/>
      <c r="O133"/>
      <c r="P133"/>
    </row>
    <row r="134" spans="1:16" ht="20.25" customHeight="1" x14ac:dyDescent="0.25">
      <c r="A134"/>
      <c r="B134"/>
      <c r="C134"/>
      <c r="D134"/>
      <c r="E134"/>
      <c r="F134"/>
      <c r="G134"/>
      <c r="H134"/>
      <c r="I134"/>
      <c r="J134"/>
      <c r="K134"/>
      <c r="L134"/>
      <c r="M134"/>
      <c r="N134"/>
      <c r="O134"/>
      <c r="P134"/>
    </row>
    <row r="135" spans="1:16" ht="20.25" customHeight="1" x14ac:dyDescent="0.25">
      <c r="A135"/>
      <c r="B135"/>
      <c r="C135"/>
      <c r="D135"/>
      <c r="E135"/>
      <c r="F135"/>
      <c r="G135"/>
      <c r="H135"/>
      <c r="I135"/>
      <c r="J135"/>
      <c r="K135"/>
      <c r="L135"/>
      <c r="M135"/>
      <c r="N135"/>
      <c r="O135"/>
      <c r="P135"/>
    </row>
    <row r="136" spans="1:16" ht="20.25" customHeight="1" x14ac:dyDescent="0.25">
      <c r="A136"/>
      <c r="B136"/>
      <c r="C136"/>
      <c r="D136"/>
      <c r="E136"/>
      <c r="F136"/>
      <c r="G136"/>
      <c r="H136"/>
      <c r="I136"/>
      <c r="J136"/>
      <c r="K136"/>
      <c r="L136"/>
      <c r="M136"/>
      <c r="N136"/>
      <c r="O136"/>
      <c r="P136"/>
    </row>
    <row r="137" spans="1:16" ht="20.25" customHeight="1" x14ac:dyDescent="0.25">
      <c r="A137"/>
      <c r="B137"/>
      <c r="C137"/>
      <c r="D137"/>
      <c r="E137"/>
      <c r="F137"/>
      <c r="G137"/>
      <c r="H137"/>
      <c r="I137"/>
      <c r="J137"/>
      <c r="K137"/>
      <c r="L137"/>
      <c r="M137"/>
      <c r="N137"/>
      <c r="O137"/>
      <c r="P137"/>
    </row>
    <row r="138" spans="1:16" ht="20.25" customHeight="1" x14ac:dyDescent="0.25">
      <c r="A138"/>
      <c r="B138"/>
      <c r="C138"/>
      <c r="D138"/>
      <c r="E138"/>
      <c r="F138"/>
      <c r="G138"/>
      <c r="H138"/>
      <c r="I138"/>
      <c r="J138"/>
      <c r="K138"/>
      <c r="L138"/>
      <c r="M138"/>
      <c r="N138"/>
      <c r="O138"/>
      <c r="P138"/>
    </row>
    <row r="139" spans="1:16" ht="20.25" customHeight="1" x14ac:dyDescent="0.25">
      <c r="A139"/>
      <c r="B139"/>
      <c r="C139"/>
      <c r="D139"/>
      <c r="E139"/>
      <c r="F139"/>
      <c r="G139"/>
      <c r="H139"/>
      <c r="I139"/>
      <c r="J139"/>
      <c r="K139"/>
      <c r="L139"/>
      <c r="M139"/>
      <c r="N139"/>
      <c r="O139"/>
      <c r="P139"/>
    </row>
    <row r="140" spans="1:16" ht="20.25" customHeight="1" x14ac:dyDescent="0.25">
      <c r="A140"/>
      <c r="B140"/>
      <c r="C140"/>
      <c r="D140"/>
      <c r="E140"/>
      <c r="F140"/>
      <c r="G140"/>
      <c r="H140"/>
      <c r="I140"/>
      <c r="J140"/>
      <c r="K140"/>
      <c r="L140"/>
      <c r="M140"/>
      <c r="N140"/>
      <c r="O140"/>
      <c r="P140"/>
    </row>
    <row r="141" spans="1:16" ht="20.25" customHeight="1" x14ac:dyDescent="0.25">
      <c r="A141"/>
      <c r="B141"/>
      <c r="C141"/>
      <c r="D141"/>
      <c r="E141"/>
      <c r="F141"/>
      <c r="G141"/>
      <c r="H141"/>
      <c r="I141"/>
      <c r="J141"/>
      <c r="K141"/>
      <c r="L141"/>
      <c r="M141"/>
      <c r="N141"/>
      <c r="O141"/>
      <c r="P141"/>
    </row>
    <row r="142" spans="1:16" ht="20.25" customHeight="1" x14ac:dyDescent="0.25">
      <c r="A142"/>
      <c r="B142"/>
      <c r="C142"/>
      <c r="D142"/>
      <c r="E142"/>
      <c r="F142"/>
      <c r="G142"/>
      <c r="H142"/>
      <c r="I142"/>
      <c r="J142"/>
      <c r="K142"/>
      <c r="L142"/>
      <c r="M142"/>
      <c r="N142"/>
      <c r="O142"/>
      <c r="P142"/>
    </row>
    <row r="143" spans="1:16" ht="20.25" customHeight="1" x14ac:dyDescent="0.25">
      <c r="A143"/>
      <c r="B143"/>
      <c r="C143"/>
      <c r="D143"/>
      <c r="E143"/>
      <c r="F143"/>
      <c r="G143"/>
      <c r="H143"/>
      <c r="I143"/>
      <c r="J143"/>
      <c r="K143"/>
      <c r="L143"/>
      <c r="M143"/>
      <c r="N143"/>
      <c r="O143"/>
      <c r="P143"/>
    </row>
    <row r="144" spans="1:16" ht="20.25" customHeight="1" x14ac:dyDescent="0.25">
      <c r="A144"/>
      <c r="B144"/>
      <c r="C144"/>
      <c r="D144"/>
      <c r="E144"/>
      <c r="F144"/>
      <c r="G144"/>
      <c r="H144"/>
      <c r="I144"/>
      <c r="J144"/>
      <c r="K144"/>
      <c r="L144"/>
      <c r="M144"/>
      <c r="N144"/>
      <c r="O144"/>
      <c r="P144"/>
    </row>
    <row r="145" spans="1:16" ht="20.25" customHeight="1" x14ac:dyDescent="0.25">
      <c r="A145"/>
      <c r="B145"/>
      <c r="C145"/>
      <c r="D145"/>
      <c r="E145"/>
      <c r="F145"/>
      <c r="G145"/>
      <c r="H145"/>
      <c r="I145"/>
      <c r="J145"/>
      <c r="K145"/>
      <c r="L145"/>
      <c r="M145"/>
      <c r="N145"/>
      <c r="O145"/>
      <c r="P145"/>
    </row>
    <row r="146" spans="1:16" ht="20.25" customHeight="1" x14ac:dyDescent="0.25">
      <c r="A146"/>
      <c r="B146"/>
      <c r="C146"/>
      <c r="D146"/>
      <c r="E146"/>
      <c r="F146"/>
      <c r="G146"/>
      <c r="H146"/>
      <c r="I146"/>
      <c r="J146"/>
      <c r="K146"/>
      <c r="L146"/>
      <c r="M146"/>
      <c r="N146"/>
      <c r="O146"/>
      <c r="P146"/>
    </row>
    <row r="147" spans="1:16" ht="20.25" customHeight="1" x14ac:dyDescent="0.25">
      <c r="A147"/>
      <c r="B147"/>
      <c r="C147"/>
      <c r="D147"/>
      <c r="E147"/>
      <c r="F147"/>
      <c r="G147"/>
      <c r="H147"/>
      <c r="I147"/>
      <c r="J147"/>
      <c r="K147"/>
      <c r="L147"/>
      <c r="M147"/>
      <c r="N147"/>
      <c r="O147"/>
      <c r="P147"/>
    </row>
    <row r="148" spans="1:16" ht="20.25" customHeight="1" x14ac:dyDescent="0.25">
      <c r="A148"/>
      <c r="B148"/>
      <c r="C148"/>
      <c r="D148"/>
      <c r="E148"/>
      <c r="F148"/>
      <c r="G148"/>
      <c r="H148"/>
      <c r="I148"/>
      <c r="J148"/>
      <c r="K148"/>
      <c r="L148"/>
      <c r="M148"/>
      <c r="N148"/>
      <c r="O148"/>
      <c r="P148"/>
    </row>
    <row r="149" spans="1:16" ht="20.25" customHeight="1" x14ac:dyDescent="0.25">
      <c r="A149"/>
      <c r="B149"/>
      <c r="C149"/>
      <c r="D149"/>
      <c r="E149"/>
      <c r="F149"/>
      <c r="G149"/>
      <c r="H149"/>
      <c r="I149"/>
      <c r="J149"/>
      <c r="K149"/>
      <c r="L149"/>
      <c r="M149"/>
      <c r="N149"/>
      <c r="O149"/>
      <c r="P149"/>
    </row>
    <row r="150" spans="1:16" ht="20.25" customHeight="1" x14ac:dyDescent="0.25">
      <c r="A150"/>
      <c r="B150"/>
      <c r="C150"/>
      <c r="D150"/>
      <c r="E150"/>
      <c r="F150"/>
      <c r="G150"/>
      <c r="H150"/>
      <c r="I150"/>
      <c r="J150"/>
      <c r="K150"/>
      <c r="L150"/>
      <c r="M150"/>
      <c r="N150"/>
      <c r="O150"/>
      <c r="P150"/>
    </row>
    <row r="151" spans="1:16" ht="20.25" customHeight="1" x14ac:dyDescent="0.25">
      <c r="A151"/>
      <c r="B151"/>
      <c r="C151"/>
      <c r="D151"/>
      <c r="E151"/>
      <c r="F151"/>
      <c r="G151"/>
      <c r="H151"/>
      <c r="I151"/>
      <c r="J151"/>
      <c r="K151"/>
      <c r="L151"/>
      <c r="M151"/>
      <c r="N151"/>
      <c r="O151"/>
      <c r="P151"/>
    </row>
    <row r="152" spans="1:16" ht="20.25" customHeight="1" x14ac:dyDescent="0.25">
      <c r="A152"/>
      <c r="B152"/>
      <c r="C152"/>
      <c r="D152"/>
      <c r="E152"/>
      <c r="F152"/>
      <c r="G152"/>
      <c r="H152"/>
      <c r="I152"/>
      <c r="J152"/>
      <c r="K152"/>
      <c r="L152"/>
      <c r="M152"/>
      <c r="N152"/>
      <c r="O152"/>
      <c r="P152"/>
    </row>
    <row r="153" spans="1:16" ht="20.25" customHeight="1" x14ac:dyDescent="0.25">
      <c r="A153"/>
      <c r="B153"/>
      <c r="C153"/>
      <c r="D153"/>
      <c r="E153"/>
      <c r="F153"/>
      <c r="G153"/>
      <c r="H153"/>
      <c r="I153"/>
      <c r="J153"/>
      <c r="K153"/>
      <c r="L153"/>
      <c r="M153"/>
      <c r="N153"/>
      <c r="O153"/>
      <c r="P153"/>
    </row>
    <row r="154" spans="1:16" ht="20.25" customHeight="1" x14ac:dyDescent="0.25">
      <c r="A154"/>
      <c r="B154"/>
      <c r="C154"/>
      <c r="D154"/>
      <c r="E154"/>
      <c r="F154"/>
      <c r="G154"/>
      <c r="H154"/>
      <c r="I154"/>
      <c r="J154"/>
      <c r="K154"/>
      <c r="L154"/>
      <c r="M154"/>
      <c r="N154"/>
      <c r="O154"/>
      <c r="P154"/>
    </row>
    <row r="155" spans="1:16" ht="20.25" customHeight="1" x14ac:dyDescent="0.25">
      <c r="A155"/>
      <c r="B155"/>
      <c r="C155"/>
      <c r="D155"/>
      <c r="E155"/>
      <c r="F155"/>
      <c r="G155"/>
      <c r="H155"/>
      <c r="I155"/>
      <c r="J155"/>
      <c r="K155"/>
      <c r="L155"/>
      <c r="M155"/>
      <c r="N155"/>
      <c r="O155"/>
      <c r="P155"/>
    </row>
    <row r="156" spans="1:16" ht="20.25" customHeight="1" x14ac:dyDescent="0.25">
      <c r="A156"/>
      <c r="B156"/>
      <c r="C156"/>
      <c r="D156"/>
      <c r="E156"/>
      <c r="F156"/>
      <c r="G156"/>
      <c r="H156"/>
      <c r="I156"/>
      <c r="J156"/>
      <c r="K156"/>
      <c r="L156"/>
      <c r="M156"/>
      <c r="N156"/>
      <c r="O156"/>
      <c r="P156"/>
    </row>
    <row r="157" spans="1:16" ht="20.25" customHeight="1" x14ac:dyDescent="0.25">
      <c r="A157"/>
      <c r="B157"/>
      <c r="C157"/>
      <c r="D157"/>
      <c r="E157"/>
      <c r="F157"/>
      <c r="G157"/>
      <c r="H157"/>
      <c r="I157"/>
      <c r="J157"/>
      <c r="K157"/>
      <c r="L157"/>
      <c r="M157"/>
      <c r="N157"/>
      <c r="O157"/>
      <c r="P157"/>
    </row>
    <row r="158" spans="1:16" ht="20.25" customHeight="1" x14ac:dyDescent="0.25">
      <c r="A158"/>
      <c r="B158"/>
      <c r="C158"/>
      <c r="D158"/>
      <c r="E158"/>
      <c r="F158"/>
      <c r="G158"/>
      <c r="H158"/>
      <c r="I158"/>
      <c r="J158"/>
      <c r="K158"/>
      <c r="L158"/>
      <c r="M158"/>
      <c r="N158"/>
      <c r="O158"/>
      <c r="P158"/>
    </row>
    <row r="159" spans="1:16" ht="20.25" customHeight="1" x14ac:dyDescent="0.25">
      <c r="A159"/>
      <c r="B159"/>
      <c r="C159"/>
      <c r="D159"/>
      <c r="E159"/>
      <c r="F159"/>
      <c r="G159"/>
      <c r="H159"/>
      <c r="I159"/>
      <c r="J159"/>
      <c r="K159"/>
      <c r="L159"/>
      <c r="M159"/>
      <c r="N159"/>
      <c r="O159"/>
      <c r="P159"/>
    </row>
    <row r="160" spans="1:16" ht="20.25" customHeight="1" x14ac:dyDescent="0.25">
      <c r="A160"/>
      <c r="B160"/>
      <c r="C160"/>
      <c r="D160"/>
      <c r="E160"/>
      <c r="F160"/>
      <c r="G160"/>
      <c r="H160"/>
      <c r="I160"/>
      <c r="J160"/>
      <c r="K160"/>
      <c r="L160"/>
      <c r="M160"/>
      <c r="N160"/>
      <c r="O160"/>
      <c r="P160"/>
    </row>
    <row r="161" spans="1:16" ht="20.25" customHeight="1" x14ac:dyDescent="0.25">
      <c r="A161"/>
      <c r="B161"/>
      <c r="C161"/>
      <c r="D161"/>
      <c r="E161"/>
      <c r="F161"/>
      <c r="G161"/>
      <c r="H161"/>
      <c r="I161"/>
      <c r="J161"/>
      <c r="K161"/>
      <c r="L161"/>
      <c r="M161"/>
      <c r="N161"/>
      <c r="O161"/>
      <c r="P161"/>
    </row>
    <row r="162" spans="1:16" ht="20.25" customHeight="1" x14ac:dyDescent="0.25">
      <c r="A162"/>
      <c r="B162"/>
      <c r="C162"/>
      <c r="D162"/>
      <c r="E162"/>
      <c r="F162"/>
      <c r="G162"/>
      <c r="H162"/>
      <c r="I162"/>
      <c r="J162"/>
      <c r="K162"/>
      <c r="L162"/>
      <c r="M162"/>
      <c r="N162"/>
      <c r="O162"/>
      <c r="P162"/>
    </row>
    <row r="163" spans="1:16" ht="20.25" customHeight="1" x14ac:dyDescent="0.25">
      <c r="A163"/>
      <c r="B163"/>
      <c r="C163"/>
      <c r="D163"/>
      <c r="E163"/>
      <c r="F163"/>
      <c r="G163"/>
      <c r="H163"/>
      <c r="I163"/>
      <c r="J163"/>
      <c r="K163"/>
      <c r="L163"/>
      <c r="M163"/>
      <c r="N163"/>
      <c r="O163"/>
      <c r="P163"/>
    </row>
    <row r="164" spans="1:16" ht="20.25" customHeight="1" x14ac:dyDescent="0.25">
      <c r="A164"/>
      <c r="B164"/>
      <c r="C164"/>
      <c r="D164"/>
      <c r="E164"/>
      <c r="F164"/>
      <c r="G164"/>
      <c r="H164"/>
      <c r="I164"/>
      <c r="J164"/>
      <c r="K164"/>
      <c r="L164"/>
      <c r="M164"/>
      <c r="N164"/>
      <c r="O164"/>
      <c r="P164"/>
    </row>
    <row r="165" spans="1:16" ht="20.25" customHeight="1" x14ac:dyDescent="0.25">
      <c r="A165"/>
      <c r="B165"/>
      <c r="C165"/>
      <c r="D165"/>
      <c r="E165"/>
      <c r="F165"/>
      <c r="G165"/>
      <c r="H165"/>
      <c r="I165"/>
      <c r="J165"/>
      <c r="K165"/>
      <c r="L165"/>
      <c r="M165"/>
      <c r="N165"/>
      <c r="O165"/>
      <c r="P165"/>
    </row>
    <row r="166" spans="1:16" ht="20.25" customHeight="1" x14ac:dyDescent="0.25">
      <c r="A166"/>
      <c r="B166"/>
      <c r="C166"/>
      <c r="D166"/>
      <c r="E166"/>
      <c r="F166"/>
      <c r="G166"/>
      <c r="H166"/>
      <c r="I166"/>
      <c r="J166"/>
      <c r="K166"/>
      <c r="L166"/>
      <c r="M166"/>
      <c r="N166"/>
      <c r="O166"/>
      <c r="P166"/>
    </row>
    <row r="167" spans="1:16" ht="20.25" customHeight="1" x14ac:dyDescent="0.25">
      <c r="A167"/>
      <c r="B167"/>
      <c r="C167"/>
      <c r="D167"/>
      <c r="E167"/>
      <c r="F167"/>
      <c r="G167"/>
      <c r="H167"/>
      <c r="I167"/>
      <c r="J167"/>
      <c r="K167"/>
      <c r="L167"/>
      <c r="M167"/>
      <c r="N167"/>
      <c r="O167"/>
      <c r="P167"/>
    </row>
    <row r="168" spans="1:16" ht="20.25" customHeight="1" x14ac:dyDescent="0.25">
      <c r="A168"/>
      <c r="B168"/>
      <c r="C168"/>
      <c r="D168"/>
      <c r="E168"/>
      <c r="F168"/>
      <c r="G168"/>
      <c r="H168"/>
      <c r="I168"/>
      <c r="J168"/>
      <c r="K168"/>
      <c r="L168"/>
      <c r="M168"/>
      <c r="N168"/>
      <c r="O168"/>
      <c r="P168"/>
    </row>
    <row r="169" spans="1:16" ht="20.25" customHeight="1" x14ac:dyDescent="0.25">
      <c r="A169"/>
      <c r="B169"/>
      <c r="C169"/>
      <c r="D169"/>
      <c r="E169"/>
      <c r="F169"/>
      <c r="G169"/>
      <c r="H169"/>
      <c r="I169"/>
      <c r="J169"/>
      <c r="K169"/>
      <c r="L169"/>
      <c r="M169"/>
      <c r="N169"/>
      <c r="O169"/>
      <c r="P169"/>
    </row>
    <row r="170" spans="1:16" ht="20.25" customHeight="1" x14ac:dyDescent="0.25">
      <c r="A170"/>
      <c r="B170"/>
      <c r="C170"/>
      <c r="D170"/>
      <c r="E170"/>
      <c r="F170"/>
      <c r="G170"/>
      <c r="H170"/>
      <c r="I170"/>
      <c r="J170"/>
      <c r="K170"/>
      <c r="L170"/>
      <c r="M170"/>
      <c r="N170"/>
      <c r="O170"/>
      <c r="P170"/>
    </row>
    <row r="171" spans="1:16" ht="20.25" customHeight="1" x14ac:dyDescent="0.25">
      <c r="A171"/>
      <c r="B171"/>
      <c r="C171"/>
      <c r="D171"/>
      <c r="E171"/>
      <c r="F171"/>
      <c r="G171"/>
      <c r="H171"/>
      <c r="I171"/>
      <c r="J171"/>
      <c r="K171"/>
      <c r="L171"/>
      <c r="M171"/>
      <c r="N171"/>
      <c r="O171"/>
      <c r="P171"/>
    </row>
    <row r="172" spans="1:16" ht="20.25" customHeight="1" x14ac:dyDescent="0.25">
      <c r="A172"/>
      <c r="B172"/>
      <c r="C172"/>
      <c r="D172"/>
      <c r="E172"/>
      <c r="F172"/>
      <c r="G172"/>
      <c r="H172"/>
      <c r="I172"/>
      <c r="J172"/>
      <c r="K172"/>
      <c r="L172"/>
      <c r="M172"/>
      <c r="N172"/>
      <c r="O172"/>
      <c r="P172"/>
    </row>
    <row r="173" spans="1:16" ht="20.25" customHeight="1" x14ac:dyDescent="0.25">
      <c r="A173"/>
      <c r="B173"/>
      <c r="C173"/>
      <c r="D173"/>
      <c r="E173"/>
      <c r="F173"/>
      <c r="G173"/>
      <c r="H173"/>
      <c r="I173"/>
      <c r="J173"/>
      <c r="K173"/>
      <c r="L173"/>
      <c r="M173"/>
      <c r="N173"/>
      <c r="O173"/>
      <c r="P173"/>
    </row>
    <row r="174" spans="1:16" ht="20.25" customHeight="1" x14ac:dyDescent="0.25">
      <c r="A174"/>
      <c r="B174"/>
      <c r="C174"/>
      <c r="D174"/>
      <c r="E174"/>
      <c r="F174"/>
      <c r="G174"/>
      <c r="H174"/>
      <c r="I174"/>
      <c r="J174"/>
      <c r="K174"/>
      <c r="L174"/>
      <c r="M174"/>
      <c r="N174"/>
      <c r="O174"/>
      <c r="P174"/>
    </row>
    <row r="175" spans="1:16" ht="20.25" customHeight="1" x14ac:dyDescent="0.25">
      <c r="A175"/>
      <c r="B175"/>
      <c r="C175"/>
      <c r="D175"/>
      <c r="E175"/>
      <c r="F175"/>
      <c r="G175"/>
      <c r="H175"/>
      <c r="I175"/>
      <c r="J175"/>
      <c r="K175"/>
      <c r="L175"/>
      <c r="M175"/>
      <c r="N175"/>
      <c r="O175"/>
      <c r="P175"/>
    </row>
    <row r="176" spans="1:16" ht="20.25" customHeight="1" x14ac:dyDescent="0.25">
      <c r="A176"/>
      <c r="B176"/>
      <c r="C176"/>
      <c r="D176"/>
      <c r="E176"/>
      <c r="F176"/>
      <c r="G176"/>
      <c r="H176"/>
      <c r="I176"/>
      <c r="J176"/>
      <c r="K176"/>
      <c r="L176"/>
      <c r="M176"/>
      <c r="N176"/>
      <c r="O176"/>
      <c r="P176"/>
    </row>
    <row r="177" spans="1:16" ht="20.25" customHeight="1" x14ac:dyDescent="0.25">
      <c r="A177"/>
      <c r="B177"/>
      <c r="C177"/>
      <c r="D177"/>
      <c r="E177"/>
      <c r="F177"/>
      <c r="G177"/>
      <c r="H177"/>
      <c r="I177"/>
      <c r="J177"/>
      <c r="K177"/>
      <c r="L177"/>
      <c r="M177"/>
      <c r="N177"/>
      <c r="O177"/>
      <c r="P177"/>
    </row>
    <row r="178" spans="1:16" ht="20.25" customHeight="1" x14ac:dyDescent="0.25">
      <c r="A178"/>
      <c r="B178"/>
      <c r="C178"/>
      <c r="D178"/>
      <c r="E178"/>
      <c r="F178"/>
      <c r="G178"/>
      <c r="H178"/>
      <c r="I178"/>
      <c r="J178"/>
      <c r="K178"/>
      <c r="L178"/>
      <c r="M178"/>
      <c r="N178"/>
      <c r="O178"/>
      <c r="P178"/>
    </row>
    <row r="179" spans="1:16" ht="20.25" customHeight="1" x14ac:dyDescent="0.25">
      <c r="A179"/>
      <c r="B179"/>
      <c r="C179"/>
      <c r="D179"/>
      <c r="E179"/>
      <c r="F179"/>
      <c r="G179"/>
      <c r="H179"/>
      <c r="I179"/>
      <c r="J179"/>
      <c r="K179"/>
      <c r="L179"/>
      <c r="M179"/>
      <c r="N179"/>
      <c r="O179"/>
      <c r="P179"/>
    </row>
    <row r="180" spans="1:16" ht="20.25" customHeight="1" x14ac:dyDescent="0.25">
      <c r="A180"/>
      <c r="B180"/>
      <c r="C180"/>
      <c r="D180"/>
      <c r="E180"/>
      <c r="F180"/>
      <c r="G180"/>
      <c r="H180"/>
      <c r="I180"/>
      <c r="J180"/>
      <c r="K180"/>
      <c r="L180"/>
      <c r="M180"/>
      <c r="N180"/>
      <c r="O180"/>
      <c r="P180"/>
    </row>
    <row r="181" spans="1:16" ht="20.25" customHeight="1" x14ac:dyDescent="0.25">
      <c r="A181"/>
      <c r="B181"/>
      <c r="C181"/>
      <c r="D181"/>
      <c r="E181"/>
      <c r="F181"/>
      <c r="G181"/>
      <c r="H181"/>
      <c r="I181"/>
      <c r="J181"/>
      <c r="K181"/>
      <c r="L181"/>
      <c r="M181"/>
      <c r="N181"/>
      <c r="O181"/>
      <c r="P181"/>
    </row>
    <row r="182" spans="1:16" ht="20.25" customHeight="1" x14ac:dyDescent="0.25">
      <c r="A182"/>
      <c r="B182"/>
      <c r="C182"/>
      <c r="D182"/>
      <c r="E182"/>
      <c r="F182"/>
      <c r="G182"/>
      <c r="H182"/>
      <c r="I182"/>
      <c r="J182"/>
      <c r="K182"/>
      <c r="L182"/>
      <c r="M182"/>
      <c r="N182"/>
      <c r="O182"/>
      <c r="P182"/>
    </row>
    <row r="183" spans="1:16" ht="20.25" customHeight="1" x14ac:dyDescent="0.25">
      <c r="A183"/>
      <c r="B183"/>
      <c r="C183"/>
      <c r="D183"/>
      <c r="E183"/>
      <c r="F183"/>
      <c r="G183"/>
      <c r="H183"/>
      <c r="I183"/>
      <c r="J183"/>
      <c r="K183"/>
      <c r="L183"/>
      <c r="M183"/>
      <c r="N183"/>
      <c r="O183"/>
      <c r="P183"/>
    </row>
    <row r="184" spans="1:16" ht="20.25" customHeight="1" x14ac:dyDescent="0.25">
      <c r="A184"/>
      <c r="B184"/>
      <c r="C184"/>
      <c r="D184"/>
      <c r="E184"/>
      <c r="F184"/>
      <c r="G184"/>
      <c r="H184"/>
      <c r="I184"/>
      <c r="J184"/>
      <c r="K184"/>
      <c r="L184"/>
      <c r="M184"/>
      <c r="N184"/>
      <c r="O184"/>
      <c r="P184"/>
    </row>
    <row r="185" spans="1:16" ht="20.25" customHeight="1" x14ac:dyDescent="0.25">
      <c r="A185"/>
      <c r="B185"/>
      <c r="C185"/>
      <c r="D185"/>
      <c r="E185"/>
      <c r="F185"/>
      <c r="G185"/>
      <c r="H185"/>
      <c r="I185"/>
      <c r="J185"/>
      <c r="K185"/>
      <c r="L185"/>
      <c r="M185"/>
      <c r="N185"/>
      <c r="O185"/>
      <c r="P185"/>
    </row>
    <row r="186" spans="1:16" ht="20.25" customHeight="1" x14ac:dyDescent="0.25">
      <c r="A186"/>
      <c r="B186"/>
      <c r="C186"/>
      <c r="D186"/>
      <c r="E186"/>
      <c r="F186"/>
      <c r="G186"/>
      <c r="H186"/>
      <c r="I186"/>
      <c r="J186"/>
      <c r="K186"/>
      <c r="L186"/>
      <c r="M186"/>
      <c r="N186"/>
      <c r="O186"/>
      <c r="P186"/>
    </row>
    <row r="187" spans="1:16" ht="20.25" customHeight="1" x14ac:dyDescent="0.25">
      <c r="A187"/>
      <c r="B187"/>
      <c r="C187"/>
      <c r="D187"/>
      <c r="E187"/>
      <c r="F187"/>
      <c r="G187"/>
      <c r="H187"/>
      <c r="I187"/>
      <c r="J187"/>
      <c r="K187"/>
      <c r="L187"/>
      <c r="M187"/>
      <c r="N187"/>
      <c r="O187"/>
      <c r="P187"/>
    </row>
    <row r="188" spans="1:16" ht="20.25" customHeight="1" x14ac:dyDescent="0.25">
      <c r="A188"/>
      <c r="B188"/>
      <c r="C188"/>
      <c r="D188"/>
      <c r="E188"/>
      <c r="F188"/>
      <c r="G188"/>
      <c r="H188"/>
      <c r="I188"/>
      <c r="J188"/>
      <c r="K188"/>
      <c r="L188"/>
      <c r="M188"/>
      <c r="N188"/>
      <c r="O188"/>
      <c r="P188"/>
    </row>
    <row r="189" spans="1:16" ht="20.25" customHeight="1" x14ac:dyDescent="0.25">
      <c r="A189"/>
      <c r="B189"/>
      <c r="C189"/>
      <c r="D189"/>
      <c r="E189"/>
      <c r="F189"/>
      <c r="G189"/>
      <c r="H189"/>
      <c r="I189"/>
      <c r="J189"/>
      <c r="K189"/>
      <c r="L189"/>
      <c r="M189"/>
      <c r="N189"/>
      <c r="O189"/>
      <c r="P189"/>
    </row>
    <row r="190" spans="1:16" ht="20.25" customHeight="1" x14ac:dyDescent="0.25">
      <c r="A190"/>
      <c r="B190"/>
      <c r="C190"/>
      <c r="D190"/>
      <c r="E190"/>
      <c r="F190"/>
      <c r="G190"/>
      <c r="H190"/>
      <c r="I190"/>
      <c r="J190"/>
      <c r="K190"/>
      <c r="L190"/>
      <c r="M190"/>
      <c r="N190"/>
      <c r="O190"/>
      <c r="P190"/>
    </row>
    <row r="191" spans="1:16" ht="20.25" customHeight="1" x14ac:dyDescent="0.25">
      <c r="A191"/>
      <c r="B191"/>
      <c r="C191"/>
      <c r="D191"/>
      <c r="E191"/>
      <c r="F191"/>
      <c r="G191"/>
      <c r="H191"/>
      <c r="I191"/>
      <c r="J191"/>
      <c r="K191"/>
      <c r="L191"/>
      <c r="M191"/>
      <c r="N191"/>
      <c r="O191"/>
      <c r="P191"/>
    </row>
    <row r="192" spans="1:16" ht="20.25" customHeight="1" x14ac:dyDescent="0.25">
      <c r="A192"/>
      <c r="B192"/>
      <c r="C192"/>
      <c r="D192"/>
      <c r="E192"/>
      <c r="F192"/>
      <c r="G192"/>
      <c r="H192"/>
      <c r="I192"/>
      <c r="J192"/>
      <c r="K192"/>
      <c r="L192"/>
      <c r="M192"/>
      <c r="N192"/>
      <c r="O192"/>
      <c r="P192"/>
    </row>
    <row r="193" spans="1:16" ht="20.25" customHeight="1" x14ac:dyDescent="0.25">
      <c r="A193"/>
      <c r="B193"/>
      <c r="C193"/>
      <c r="D193"/>
      <c r="E193"/>
      <c r="F193"/>
      <c r="G193"/>
      <c r="H193"/>
      <c r="I193"/>
      <c r="J193"/>
      <c r="K193"/>
      <c r="L193"/>
      <c r="M193"/>
      <c r="N193"/>
      <c r="O193"/>
      <c r="P193"/>
    </row>
    <row r="194" spans="1:16" ht="20.25" customHeight="1" x14ac:dyDescent="0.25">
      <c r="A194"/>
      <c r="B194"/>
      <c r="C194"/>
      <c r="D194"/>
      <c r="E194"/>
      <c r="F194"/>
      <c r="G194"/>
      <c r="H194"/>
      <c r="I194"/>
      <c r="J194"/>
      <c r="K194"/>
      <c r="L194"/>
      <c r="M194"/>
      <c r="N194"/>
      <c r="O194"/>
      <c r="P194"/>
    </row>
    <row r="195" spans="1:16" ht="20.25" customHeight="1" x14ac:dyDescent="0.25">
      <c r="A195"/>
      <c r="B195"/>
      <c r="C195"/>
      <c r="D195"/>
      <c r="E195"/>
      <c r="F195"/>
      <c r="G195"/>
      <c r="H195"/>
      <c r="I195"/>
      <c r="J195"/>
      <c r="K195"/>
      <c r="L195"/>
      <c r="M195"/>
      <c r="N195"/>
      <c r="O195"/>
      <c r="P195"/>
    </row>
    <row r="196" spans="1:16" ht="20.25" customHeight="1" x14ac:dyDescent="0.25">
      <c r="A196"/>
      <c r="B196"/>
      <c r="C196"/>
      <c r="D196"/>
      <c r="E196"/>
      <c r="F196"/>
      <c r="G196"/>
      <c r="H196"/>
      <c r="I196"/>
      <c r="J196"/>
      <c r="K196"/>
      <c r="L196"/>
      <c r="M196"/>
      <c r="N196"/>
      <c r="O196"/>
      <c r="P196"/>
    </row>
    <row r="197" spans="1:16" ht="20.25" customHeight="1" x14ac:dyDescent="0.25">
      <c r="A197"/>
      <c r="B197"/>
      <c r="C197"/>
      <c r="D197"/>
      <c r="E197"/>
      <c r="F197"/>
      <c r="G197"/>
      <c r="H197"/>
      <c r="I197"/>
      <c r="J197"/>
      <c r="K197"/>
      <c r="L197"/>
      <c r="M197"/>
      <c r="N197"/>
      <c r="O197"/>
      <c r="P197"/>
    </row>
    <row r="198" spans="1:16" ht="20.25" customHeight="1" x14ac:dyDescent="0.25">
      <c r="A198"/>
      <c r="B198"/>
      <c r="C198"/>
      <c r="D198"/>
      <c r="E198"/>
      <c r="F198"/>
      <c r="G198"/>
      <c r="H198"/>
      <c r="I198"/>
      <c r="J198"/>
      <c r="K198"/>
      <c r="L198"/>
      <c r="M198"/>
      <c r="N198"/>
      <c r="O198"/>
      <c r="P198"/>
    </row>
    <row r="199" spans="1:16" ht="20.25" customHeight="1" x14ac:dyDescent="0.25">
      <c r="A199"/>
      <c r="B199"/>
      <c r="C199"/>
      <c r="D199"/>
      <c r="E199"/>
      <c r="F199"/>
      <c r="G199"/>
      <c r="H199"/>
      <c r="I199"/>
      <c r="J199"/>
      <c r="K199"/>
      <c r="L199"/>
      <c r="M199"/>
      <c r="N199"/>
      <c r="O199"/>
      <c r="P199"/>
    </row>
    <row r="200" spans="1:16" ht="20.25" customHeight="1" x14ac:dyDescent="0.25">
      <c r="A200"/>
      <c r="B200"/>
      <c r="C200"/>
      <c r="D200"/>
      <c r="E200"/>
      <c r="F200"/>
      <c r="G200"/>
      <c r="H200"/>
      <c r="I200"/>
      <c r="J200"/>
      <c r="K200"/>
      <c r="L200"/>
      <c r="M200"/>
      <c r="N200"/>
      <c r="O200"/>
      <c r="P200"/>
    </row>
    <row r="201" spans="1:16" ht="20.25" customHeight="1" x14ac:dyDescent="0.25">
      <c r="A201"/>
      <c r="B201"/>
      <c r="C201"/>
      <c r="D201"/>
      <c r="E201"/>
      <c r="F201"/>
      <c r="G201"/>
      <c r="H201"/>
      <c r="I201"/>
      <c r="J201"/>
      <c r="K201"/>
      <c r="L201"/>
      <c r="M201"/>
      <c r="N201"/>
      <c r="O201"/>
      <c r="P201"/>
    </row>
    <row r="202" spans="1:16" ht="20.25" customHeight="1" x14ac:dyDescent="0.25">
      <c r="A202"/>
      <c r="B202"/>
      <c r="C202"/>
      <c r="D202"/>
      <c r="E202"/>
      <c r="F202"/>
      <c r="G202"/>
      <c r="H202"/>
      <c r="I202"/>
      <c r="J202"/>
      <c r="K202"/>
      <c r="L202"/>
      <c r="M202"/>
      <c r="N202"/>
      <c r="O202"/>
      <c r="P202"/>
    </row>
    <row r="203" spans="1:16" ht="20.25" customHeight="1" x14ac:dyDescent="0.25">
      <c r="A203"/>
      <c r="B203"/>
      <c r="C203"/>
      <c r="D203"/>
      <c r="E203"/>
      <c r="F203"/>
      <c r="G203"/>
      <c r="H203"/>
      <c r="I203"/>
      <c r="J203"/>
      <c r="K203"/>
      <c r="L203"/>
      <c r="M203"/>
      <c r="N203"/>
      <c r="O203"/>
      <c r="P203"/>
    </row>
    <row r="204" spans="1:16" ht="20.25" customHeight="1" x14ac:dyDescent="0.25">
      <c r="A204"/>
      <c r="B204"/>
      <c r="C204"/>
      <c r="D204"/>
      <c r="E204"/>
      <c r="F204"/>
      <c r="G204"/>
      <c r="H204"/>
      <c r="I204"/>
      <c r="J204"/>
      <c r="K204"/>
      <c r="L204"/>
      <c r="M204"/>
      <c r="N204"/>
      <c r="O204"/>
      <c r="P204"/>
    </row>
    <row r="205" spans="1:16" ht="20.25" customHeight="1" x14ac:dyDescent="0.25">
      <c r="A205"/>
      <c r="B205"/>
      <c r="C205"/>
      <c r="D205"/>
      <c r="E205"/>
      <c r="F205"/>
      <c r="G205"/>
      <c r="H205"/>
      <c r="I205"/>
      <c r="J205"/>
      <c r="K205"/>
      <c r="L205"/>
      <c r="M205"/>
      <c r="N205"/>
      <c r="O205"/>
      <c r="P205"/>
    </row>
    <row r="206" spans="1:16" ht="20.25" customHeight="1" x14ac:dyDescent="0.25">
      <c r="A206"/>
      <c r="B206"/>
      <c r="C206"/>
      <c r="D206"/>
      <c r="E206"/>
      <c r="F206"/>
      <c r="G206"/>
      <c r="H206"/>
      <c r="I206"/>
      <c r="J206"/>
      <c r="K206"/>
      <c r="L206"/>
      <c r="M206"/>
      <c r="N206"/>
      <c r="O206"/>
      <c r="P206"/>
    </row>
    <row r="207" spans="1:16" ht="20.25" customHeight="1" x14ac:dyDescent="0.25">
      <c r="A207"/>
      <c r="B207"/>
      <c r="C207"/>
      <c r="D207"/>
      <c r="E207"/>
      <c r="F207"/>
      <c r="G207"/>
      <c r="H207"/>
      <c r="I207"/>
      <c r="J207"/>
      <c r="K207"/>
      <c r="L207"/>
      <c r="M207"/>
      <c r="N207"/>
      <c r="O207"/>
      <c r="P207"/>
    </row>
    <row r="208" spans="1:16" ht="20.25" customHeight="1" x14ac:dyDescent="0.25">
      <c r="A208"/>
      <c r="B208"/>
      <c r="C208"/>
      <c r="D208"/>
      <c r="E208"/>
      <c r="F208"/>
      <c r="G208"/>
      <c r="H208"/>
      <c r="I208"/>
      <c r="J208"/>
      <c r="K208"/>
      <c r="L208"/>
      <c r="M208"/>
      <c r="N208"/>
      <c r="O208"/>
      <c r="P208"/>
    </row>
    <row r="209" spans="1:16" ht="20.25" customHeight="1" x14ac:dyDescent="0.25">
      <c r="A209"/>
      <c r="B209"/>
      <c r="C209"/>
      <c r="D209"/>
      <c r="E209"/>
      <c r="F209"/>
      <c r="G209"/>
      <c r="H209"/>
      <c r="I209"/>
      <c r="J209"/>
      <c r="K209"/>
      <c r="L209"/>
      <c r="M209"/>
      <c r="N209"/>
      <c r="O209"/>
      <c r="P209"/>
    </row>
    <row r="210" spans="1:16" ht="20.25" customHeight="1" x14ac:dyDescent="0.25">
      <c r="A210"/>
      <c r="B210"/>
      <c r="C210"/>
      <c r="D210"/>
      <c r="E210"/>
      <c r="F210"/>
      <c r="G210"/>
      <c r="H210"/>
      <c r="I210"/>
      <c r="J210"/>
      <c r="K210"/>
      <c r="L210"/>
      <c r="M210"/>
      <c r="N210"/>
      <c r="O210"/>
      <c r="P210"/>
    </row>
    <row r="211" spans="1:16" ht="20.25" customHeight="1" x14ac:dyDescent="0.25">
      <c r="A211"/>
      <c r="B211"/>
      <c r="C211"/>
      <c r="D211"/>
      <c r="E211"/>
      <c r="F211"/>
      <c r="G211"/>
      <c r="H211"/>
      <c r="I211"/>
      <c r="J211"/>
      <c r="K211"/>
      <c r="L211"/>
      <c r="M211"/>
      <c r="N211"/>
      <c r="O211"/>
      <c r="P211"/>
    </row>
    <row r="212" spans="1:16" ht="20.25" customHeight="1" x14ac:dyDescent="0.25">
      <c r="A212"/>
      <c r="B212"/>
      <c r="C212"/>
      <c r="D212"/>
      <c r="E212"/>
      <c r="F212"/>
      <c r="G212"/>
      <c r="H212"/>
      <c r="I212"/>
      <c r="J212"/>
      <c r="K212"/>
      <c r="L212"/>
      <c r="M212"/>
      <c r="N212"/>
      <c r="O212"/>
      <c r="P212"/>
    </row>
    <row r="213" spans="1:16" ht="20.25" customHeight="1" x14ac:dyDescent="0.25">
      <c r="A213"/>
      <c r="B213"/>
      <c r="C213"/>
      <c r="D213"/>
      <c r="E213"/>
      <c r="F213"/>
      <c r="G213"/>
      <c r="H213"/>
      <c r="I213"/>
      <c r="J213"/>
      <c r="K213"/>
      <c r="L213"/>
      <c r="M213"/>
      <c r="N213"/>
      <c r="O213"/>
      <c r="P213"/>
    </row>
    <row r="214" spans="1:16" ht="20.25" customHeight="1" x14ac:dyDescent="0.25">
      <c r="A214"/>
      <c r="B214"/>
      <c r="C214"/>
      <c r="D214"/>
      <c r="E214"/>
      <c r="F214"/>
      <c r="G214"/>
      <c r="H214"/>
      <c r="I214"/>
      <c r="J214"/>
      <c r="K214"/>
      <c r="L214"/>
      <c r="M214"/>
      <c r="N214"/>
      <c r="O214"/>
      <c r="P214"/>
    </row>
    <row r="215" spans="1:16" ht="20.25" customHeight="1" x14ac:dyDescent="0.25">
      <c r="A215"/>
      <c r="B215"/>
      <c r="C215"/>
      <c r="D215"/>
      <c r="E215"/>
      <c r="F215"/>
      <c r="G215"/>
      <c r="H215"/>
      <c r="I215"/>
      <c r="J215"/>
      <c r="K215"/>
      <c r="L215"/>
      <c r="M215"/>
      <c r="N215"/>
      <c r="O215"/>
      <c r="P215"/>
    </row>
    <row r="216" spans="1:16" ht="20.25" customHeight="1" x14ac:dyDescent="0.25">
      <c r="A216"/>
      <c r="B216"/>
      <c r="C216"/>
      <c r="D216"/>
      <c r="E216"/>
      <c r="F216"/>
      <c r="G216"/>
      <c r="H216"/>
      <c r="I216"/>
      <c r="J216"/>
      <c r="K216"/>
      <c r="L216"/>
      <c r="M216"/>
      <c r="N216"/>
      <c r="O216"/>
      <c r="P216"/>
    </row>
    <row r="217" spans="1:16" ht="20.25" customHeight="1" x14ac:dyDescent="0.25">
      <c r="A217"/>
      <c r="B217"/>
      <c r="C217"/>
      <c r="D217"/>
      <c r="E217"/>
      <c r="F217"/>
      <c r="G217"/>
      <c r="H217"/>
      <c r="I217"/>
      <c r="J217"/>
      <c r="K217"/>
      <c r="L217"/>
      <c r="M217"/>
      <c r="N217"/>
      <c r="O217"/>
      <c r="P217"/>
    </row>
    <row r="218" spans="1:16" ht="20.25" customHeight="1" x14ac:dyDescent="0.25">
      <c r="A218"/>
      <c r="B218"/>
      <c r="C218"/>
      <c r="D218"/>
      <c r="E218"/>
      <c r="F218"/>
      <c r="G218"/>
      <c r="H218"/>
      <c r="I218"/>
      <c r="J218"/>
      <c r="K218"/>
      <c r="L218"/>
      <c r="M218"/>
      <c r="N218"/>
      <c r="O218"/>
      <c r="P218"/>
    </row>
    <row r="219" spans="1:16" ht="21" customHeight="1" x14ac:dyDescent="0.25">
      <c r="A219"/>
      <c r="B219"/>
      <c r="C219"/>
      <c r="D219"/>
      <c r="E219"/>
      <c r="F219"/>
      <c r="G219"/>
      <c r="H219"/>
      <c r="I219"/>
      <c r="J219"/>
      <c r="K219"/>
      <c r="L219"/>
      <c r="M219"/>
      <c r="N219"/>
      <c r="O219"/>
      <c r="P219"/>
    </row>
    <row r="220" spans="1:16" ht="20.25" customHeight="1" x14ac:dyDescent="0.25">
      <c r="A220"/>
      <c r="B220"/>
      <c r="C220"/>
      <c r="D220"/>
      <c r="E220"/>
      <c r="F220"/>
      <c r="G220"/>
      <c r="H220"/>
      <c r="I220"/>
      <c r="J220"/>
      <c r="K220"/>
      <c r="L220"/>
      <c r="M220"/>
      <c r="N220"/>
      <c r="O220"/>
      <c r="P220"/>
    </row>
    <row r="221" spans="1:16" ht="20.25" customHeight="1" x14ac:dyDescent="0.25">
      <c r="A221"/>
      <c r="B221"/>
      <c r="C221"/>
      <c r="D221"/>
      <c r="E221"/>
      <c r="F221"/>
      <c r="G221"/>
      <c r="H221"/>
      <c r="I221"/>
      <c r="J221"/>
      <c r="K221"/>
      <c r="L221"/>
      <c r="M221"/>
      <c r="N221"/>
      <c r="O221"/>
      <c r="P221"/>
    </row>
    <row r="222" spans="1:16" ht="20.25" customHeight="1" x14ac:dyDescent="0.25">
      <c r="A222"/>
      <c r="B222"/>
      <c r="C222"/>
      <c r="D222"/>
      <c r="E222"/>
      <c r="F222"/>
      <c r="G222"/>
      <c r="H222"/>
      <c r="I222"/>
      <c r="J222"/>
      <c r="K222"/>
      <c r="L222"/>
      <c r="M222"/>
      <c r="N222"/>
      <c r="O222"/>
      <c r="P222"/>
    </row>
    <row r="223" spans="1:16" ht="20.25" customHeight="1" x14ac:dyDescent="0.25">
      <c r="A223"/>
      <c r="B223"/>
      <c r="C223"/>
      <c r="D223"/>
      <c r="E223"/>
      <c r="F223"/>
      <c r="G223"/>
      <c r="H223"/>
      <c r="I223"/>
      <c r="J223"/>
      <c r="K223"/>
      <c r="L223"/>
      <c r="M223"/>
      <c r="N223"/>
      <c r="O223"/>
      <c r="P223"/>
    </row>
    <row r="224" spans="1:16" ht="20.25" customHeight="1" x14ac:dyDescent="0.25">
      <c r="A224"/>
      <c r="B224"/>
      <c r="C224"/>
      <c r="D224"/>
      <c r="E224"/>
      <c r="F224"/>
      <c r="G224"/>
      <c r="H224"/>
      <c r="I224"/>
      <c r="J224"/>
      <c r="K224"/>
      <c r="L224"/>
      <c r="M224"/>
      <c r="N224"/>
      <c r="O224"/>
      <c r="P224"/>
    </row>
    <row r="225" spans="1:16" ht="20.25" customHeight="1" x14ac:dyDescent="0.25">
      <c r="A225"/>
      <c r="B225"/>
      <c r="C225"/>
      <c r="D225"/>
      <c r="E225"/>
      <c r="F225"/>
      <c r="G225"/>
      <c r="H225"/>
      <c r="I225"/>
      <c r="J225"/>
      <c r="K225"/>
      <c r="L225"/>
      <c r="M225"/>
      <c r="N225"/>
      <c r="O225"/>
      <c r="P225"/>
    </row>
    <row r="226" spans="1:16" ht="20.25" customHeight="1" x14ac:dyDescent="0.25">
      <c r="A226"/>
      <c r="B226"/>
      <c r="C226"/>
      <c r="D226"/>
      <c r="E226"/>
      <c r="F226"/>
      <c r="G226"/>
      <c r="H226"/>
      <c r="I226"/>
      <c r="J226"/>
      <c r="K226"/>
      <c r="L226"/>
      <c r="M226"/>
      <c r="N226"/>
      <c r="O226"/>
      <c r="P226"/>
    </row>
    <row r="227" spans="1:16" ht="20.25" customHeight="1" x14ac:dyDescent="0.25">
      <c r="A227"/>
      <c r="B227"/>
      <c r="C227"/>
      <c r="D227"/>
      <c r="E227"/>
      <c r="F227"/>
      <c r="G227"/>
      <c r="H227"/>
      <c r="I227"/>
      <c r="J227"/>
      <c r="K227"/>
      <c r="L227"/>
      <c r="M227"/>
      <c r="N227"/>
      <c r="O227"/>
      <c r="P227"/>
    </row>
    <row r="228" spans="1:16" ht="20.25" customHeight="1" x14ac:dyDescent="0.25">
      <c r="A228"/>
      <c r="B228"/>
      <c r="C228"/>
      <c r="D228"/>
      <c r="E228"/>
      <c r="F228"/>
      <c r="G228"/>
      <c r="H228"/>
      <c r="I228"/>
      <c r="J228"/>
      <c r="K228"/>
      <c r="L228"/>
      <c r="M228"/>
      <c r="N228"/>
      <c r="O228"/>
      <c r="P228"/>
    </row>
    <row r="229" spans="1:16" ht="20.25" customHeight="1" x14ac:dyDescent="0.25">
      <c r="A229"/>
      <c r="B229"/>
      <c r="C229"/>
      <c r="D229"/>
      <c r="E229"/>
      <c r="F229"/>
      <c r="G229"/>
      <c r="H229"/>
      <c r="I229"/>
      <c r="J229"/>
      <c r="K229"/>
      <c r="L229"/>
      <c r="M229"/>
      <c r="N229"/>
      <c r="O229"/>
      <c r="P229"/>
    </row>
    <row r="230" spans="1:16" ht="20.25" customHeight="1" x14ac:dyDescent="0.25">
      <c r="A230"/>
      <c r="B230"/>
      <c r="C230"/>
      <c r="D230"/>
      <c r="E230"/>
      <c r="F230"/>
      <c r="G230"/>
      <c r="H230"/>
      <c r="I230"/>
      <c r="J230"/>
      <c r="K230"/>
      <c r="L230"/>
      <c r="M230"/>
      <c r="N230"/>
      <c r="O230"/>
      <c r="P230"/>
    </row>
    <row r="231" spans="1:16" ht="20.25" customHeight="1" x14ac:dyDescent="0.25">
      <c r="A231"/>
      <c r="B231"/>
      <c r="C231"/>
      <c r="D231"/>
      <c r="E231"/>
      <c r="F231"/>
      <c r="G231"/>
      <c r="H231"/>
      <c r="I231"/>
      <c r="J231"/>
      <c r="K231"/>
      <c r="L231"/>
      <c r="M231"/>
      <c r="N231"/>
      <c r="O231"/>
      <c r="P231"/>
    </row>
    <row r="232" spans="1:16" ht="20.25" customHeight="1" x14ac:dyDescent="0.25">
      <c r="A232"/>
      <c r="B232"/>
      <c r="C232"/>
      <c r="D232"/>
      <c r="E232"/>
      <c r="F232"/>
      <c r="G232"/>
      <c r="H232"/>
      <c r="I232"/>
      <c r="J232"/>
      <c r="K232"/>
      <c r="L232"/>
      <c r="M232"/>
      <c r="N232"/>
      <c r="O232"/>
      <c r="P232"/>
    </row>
    <row r="233" spans="1:16" ht="20.25" customHeight="1" x14ac:dyDescent="0.25">
      <c r="A233"/>
      <c r="B233"/>
      <c r="C233"/>
      <c r="D233"/>
      <c r="E233"/>
      <c r="F233"/>
      <c r="G233"/>
      <c r="H233"/>
      <c r="I233"/>
      <c r="J233"/>
      <c r="K233"/>
      <c r="L233"/>
      <c r="M233"/>
      <c r="N233"/>
      <c r="O233"/>
      <c r="P233"/>
    </row>
    <row r="234" spans="1:16" ht="20.25" customHeight="1" x14ac:dyDescent="0.25">
      <c r="A234"/>
      <c r="B234"/>
      <c r="C234"/>
      <c r="D234"/>
      <c r="E234"/>
      <c r="F234"/>
      <c r="G234"/>
      <c r="H234"/>
      <c r="I234"/>
      <c r="J234"/>
      <c r="K234"/>
      <c r="L234"/>
      <c r="M234"/>
      <c r="N234"/>
      <c r="O234"/>
      <c r="P234"/>
    </row>
    <row r="235" spans="1:16" ht="20.25" customHeight="1" x14ac:dyDescent="0.25">
      <c r="A235"/>
      <c r="B235"/>
      <c r="C235"/>
      <c r="D235"/>
      <c r="E235"/>
      <c r="F235"/>
      <c r="G235"/>
      <c r="H235"/>
      <c r="I235"/>
      <c r="J235"/>
      <c r="K235"/>
      <c r="L235"/>
      <c r="M235"/>
      <c r="N235"/>
      <c r="O235"/>
      <c r="P235"/>
    </row>
    <row r="236" spans="1:16" ht="20.25" customHeight="1" x14ac:dyDescent="0.25">
      <c r="A236"/>
      <c r="B236"/>
      <c r="C236"/>
      <c r="D236"/>
      <c r="E236"/>
      <c r="F236"/>
      <c r="G236"/>
      <c r="H236"/>
      <c r="I236"/>
      <c r="J236"/>
      <c r="K236"/>
      <c r="L236"/>
      <c r="M236"/>
      <c r="N236"/>
      <c r="O236"/>
      <c r="P236"/>
    </row>
    <row r="237" spans="1:16" ht="20.25" customHeight="1" x14ac:dyDescent="0.25">
      <c r="A237"/>
      <c r="B237"/>
      <c r="C237"/>
      <c r="D237"/>
      <c r="E237"/>
      <c r="F237"/>
      <c r="G237"/>
      <c r="H237"/>
      <c r="I237"/>
      <c r="J237"/>
      <c r="K237"/>
      <c r="L237"/>
      <c r="M237"/>
      <c r="N237"/>
      <c r="O237"/>
      <c r="P237"/>
    </row>
    <row r="238" spans="1:16" ht="20.25" customHeight="1" x14ac:dyDescent="0.25">
      <c r="A238"/>
      <c r="B238"/>
      <c r="C238"/>
      <c r="D238"/>
      <c r="E238"/>
      <c r="F238"/>
      <c r="G238"/>
      <c r="H238"/>
      <c r="I238"/>
      <c r="J238"/>
      <c r="K238"/>
      <c r="L238"/>
      <c r="M238"/>
      <c r="N238"/>
      <c r="O238"/>
      <c r="P238"/>
    </row>
    <row r="239" spans="1:16" ht="20.25" customHeight="1" x14ac:dyDescent="0.25">
      <c r="A239"/>
      <c r="B239"/>
      <c r="C239"/>
      <c r="D239"/>
      <c r="E239"/>
      <c r="F239"/>
      <c r="G239"/>
      <c r="H239"/>
      <c r="I239"/>
      <c r="J239"/>
      <c r="K239"/>
      <c r="L239"/>
      <c r="M239"/>
      <c r="N239"/>
      <c r="O239"/>
      <c r="P239"/>
    </row>
    <row r="240" spans="1:16" ht="20.25" customHeight="1" x14ac:dyDescent="0.25">
      <c r="A240"/>
      <c r="B240"/>
      <c r="C240"/>
      <c r="D240"/>
      <c r="E240"/>
      <c r="F240"/>
      <c r="G240"/>
      <c r="H240"/>
      <c r="I240"/>
      <c r="J240"/>
      <c r="K240"/>
      <c r="L240"/>
      <c r="M240"/>
      <c r="N240"/>
      <c r="O240"/>
      <c r="P240"/>
    </row>
    <row r="241" spans="1:16" ht="20.25" customHeight="1" x14ac:dyDescent="0.25">
      <c r="A241"/>
      <c r="B241"/>
      <c r="C241"/>
      <c r="D241"/>
      <c r="E241"/>
      <c r="F241"/>
      <c r="G241"/>
      <c r="H241"/>
      <c r="I241"/>
      <c r="J241"/>
      <c r="K241"/>
      <c r="L241"/>
      <c r="M241"/>
      <c r="N241"/>
      <c r="O241"/>
      <c r="P241"/>
    </row>
    <row r="242" spans="1:16" ht="20.25" customHeight="1" x14ac:dyDescent="0.25">
      <c r="A242"/>
      <c r="B242"/>
      <c r="C242"/>
      <c r="D242"/>
      <c r="E242"/>
      <c r="F242"/>
      <c r="G242"/>
      <c r="H242"/>
      <c r="I242"/>
      <c r="J242"/>
      <c r="K242"/>
      <c r="L242"/>
      <c r="M242"/>
      <c r="N242"/>
      <c r="O242"/>
      <c r="P242"/>
    </row>
    <row r="243" spans="1:16" ht="20.25" customHeight="1" x14ac:dyDescent="0.25">
      <c r="A243"/>
      <c r="B243"/>
      <c r="C243"/>
      <c r="D243"/>
      <c r="E243"/>
      <c r="F243"/>
      <c r="G243"/>
      <c r="H243"/>
      <c r="I243"/>
      <c r="J243"/>
      <c r="K243"/>
      <c r="L243"/>
      <c r="M243"/>
      <c r="N243"/>
      <c r="O243"/>
      <c r="P243"/>
    </row>
    <row r="244" spans="1:16" ht="20.25" customHeight="1" x14ac:dyDescent="0.25">
      <c r="A244"/>
      <c r="B244"/>
      <c r="C244"/>
      <c r="D244"/>
      <c r="E244"/>
      <c r="F244"/>
      <c r="G244"/>
      <c r="H244"/>
      <c r="I244"/>
      <c r="J244"/>
      <c r="K244"/>
      <c r="L244"/>
      <c r="M244"/>
      <c r="N244"/>
      <c r="O244"/>
      <c r="P244"/>
    </row>
    <row r="245" spans="1:16" ht="20.25" customHeight="1" x14ac:dyDescent="0.25">
      <c r="A245"/>
      <c r="B245"/>
      <c r="C245"/>
      <c r="D245"/>
      <c r="E245"/>
      <c r="F245"/>
      <c r="G245"/>
      <c r="H245"/>
      <c r="I245"/>
      <c r="J245"/>
      <c r="K245"/>
      <c r="L245"/>
      <c r="M245"/>
      <c r="N245"/>
      <c r="O245"/>
      <c r="P245"/>
    </row>
    <row r="246" spans="1:16" ht="20.25" customHeight="1" x14ac:dyDescent="0.25">
      <c r="A246"/>
      <c r="B246"/>
      <c r="C246"/>
      <c r="D246"/>
      <c r="E246"/>
      <c r="F246"/>
      <c r="G246"/>
      <c r="H246"/>
      <c r="I246"/>
      <c r="J246"/>
      <c r="K246"/>
      <c r="L246"/>
      <c r="M246"/>
      <c r="N246"/>
      <c r="O246"/>
      <c r="P246"/>
    </row>
    <row r="247" spans="1:16" ht="20.25" customHeight="1" x14ac:dyDescent="0.25">
      <c r="A247"/>
      <c r="B247"/>
      <c r="C247"/>
      <c r="D247"/>
      <c r="E247"/>
      <c r="F247"/>
      <c r="G247"/>
      <c r="H247"/>
      <c r="I247"/>
      <c r="J247"/>
      <c r="K247"/>
      <c r="L247"/>
      <c r="M247"/>
      <c r="N247"/>
      <c r="O247"/>
      <c r="P247"/>
    </row>
    <row r="248" spans="1:16" ht="20.25" customHeight="1" x14ac:dyDescent="0.25">
      <c r="A248"/>
      <c r="B248"/>
      <c r="C248"/>
      <c r="D248"/>
      <c r="E248"/>
      <c r="F248"/>
      <c r="G248"/>
      <c r="H248"/>
      <c r="I248"/>
      <c r="J248"/>
      <c r="K248"/>
      <c r="L248"/>
      <c r="M248"/>
      <c r="N248"/>
      <c r="O248"/>
      <c r="P248"/>
    </row>
    <row r="249" spans="1:16" ht="20.25" customHeight="1" x14ac:dyDescent="0.25">
      <c r="A249"/>
      <c r="B249"/>
      <c r="C249"/>
      <c r="D249"/>
      <c r="E249"/>
      <c r="F249"/>
      <c r="G249"/>
      <c r="H249"/>
      <c r="I249"/>
      <c r="J249"/>
      <c r="K249"/>
      <c r="L249"/>
      <c r="M249"/>
      <c r="N249"/>
      <c r="O249"/>
      <c r="P249"/>
    </row>
    <row r="250" spans="1:16" ht="20.25" customHeight="1" x14ac:dyDescent="0.25">
      <c r="A250"/>
      <c r="B250"/>
      <c r="C250"/>
      <c r="D250"/>
      <c r="E250"/>
      <c r="F250"/>
      <c r="G250"/>
      <c r="H250"/>
      <c r="I250"/>
      <c r="J250"/>
      <c r="K250"/>
      <c r="L250"/>
      <c r="M250"/>
      <c r="N250"/>
      <c r="O250"/>
      <c r="P250"/>
    </row>
    <row r="251" spans="1:16" ht="20.25" customHeight="1" x14ac:dyDescent="0.25">
      <c r="A251"/>
      <c r="B251"/>
      <c r="C251"/>
      <c r="D251"/>
      <c r="E251"/>
      <c r="F251"/>
      <c r="G251"/>
      <c r="H251"/>
      <c r="I251"/>
      <c r="J251"/>
      <c r="K251"/>
      <c r="L251"/>
      <c r="M251"/>
      <c r="N251"/>
      <c r="O251"/>
      <c r="P251"/>
    </row>
    <row r="252" spans="1:16" ht="20.25" customHeight="1" x14ac:dyDescent="0.25">
      <c r="A252"/>
      <c r="B252"/>
      <c r="C252"/>
      <c r="D252"/>
      <c r="E252"/>
      <c r="F252"/>
      <c r="G252"/>
      <c r="H252"/>
      <c r="I252"/>
      <c r="J252"/>
      <c r="K252"/>
      <c r="L252"/>
      <c r="M252"/>
      <c r="N252"/>
      <c r="O252"/>
      <c r="P252"/>
    </row>
    <row r="253" spans="1:16" ht="20.25" customHeight="1" x14ac:dyDescent="0.25">
      <c r="A253"/>
      <c r="B253"/>
      <c r="C253"/>
      <c r="D253"/>
      <c r="E253"/>
      <c r="F253"/>
      <c r="G253"/>
      <c r="H253"/>
      <c r="I253"/>
      <c r="J253"/>
      <c r="K253"/>
      <c r="L253"/>
      <c r="M253"/>
      <c r="N253"/>
      <c r="O253"/>
      <c r="P253"/>
    </row>
    <row r="254" spans="1:16" ht="20.25" customHeight="1" x14ac:dyDescent="0.25">
      <c r="A254"/>
      <c r="B254"/>
      <c r="C254"/>
      <c r="D254"/>
      <c r="E254"/>
      <c r="F254"/>
      <c r="G254"/>
      <c r="H254"/>
      <c r="I254"/>
      <c r="J254"/>
      <c r="K254"/>
      <c r="L254"/>
      <c r="M254"/>
      <c r="N254"/>
      <c r="O254"/>
      <c r="P254"/>
    </row>
    <row r="255" spans="1:16" ht="20.25" customHeight="1" x14ac:dyDescent="0.25">
      <c r="A255"/>
      <c r="B255"/>
      <c r="C255"/>
      <c r="D255"/>
      <c r="E255"/>
      <c r="F255"/>
      <c r="G255"/>
      <c r="H255"/>
      <c r="I255"/>
      <c r="J255"/>
      <c r="K255"/>
      <c r="L255"/>
      <c r="M255"/>
      <c r="N255"/>
      <c r="O255"/>
      <c r="P255"/>
    </row>
    <row r="256" spans="1:16" ht="20.25" customHeight="1" x14ac:dyDescent="0.25">
      <c r="A256"/>
      <c r="B256"/>
      <c r="C256"/>
      <c r="D256"/>
      <c r="E256"/>
      <c r="F256"/>
      <c r="G256"/>
      <c r="H256"/>
      <c r="I256"/>
      <c r="J256"/>
      <c r="K256"/>
      <c r="L256"/>
      <c r="M256"/>
      <c r="N256"/>
      <c r="O256"/>
      <c r="P256"/>
    </row>
    <row r="257" spans="1:16" ht="20.25" customHeight="1" x14ac:dyDescent="0.25">
      <c r="A257"/>
      <c r="B257"/>
      <c r="C257"/>
      <c r="D257"/>
      <c r="E257"/>
      <c r="F257"/>
      <c r="G257"/>
      <c r="H257"/>
      <c r="I257"/>
      <c r="J257"/>
      <c r="K257"/>
      <c r="L257"/>
      <c r="M257"/>
      <c r="N257"/>
      <c r="O257"/>
      <c r="P257"/>
    </row>
    <row r="258" spans="1:16" ht="20.25" customHeight="1" x14ac:dyDescent="0.25">
      <c r="A258"/>
      <c r="B258"/>
      <c r="C258"/>
      <c r="D258"/>
      <c r="E258"/>
      <c r="F258"/>
      <c r="G258"/>
      <c r="H258"/>
      <c r="I258"/>
      <c r="J258"/>
      <c r="K258"/>
      <c r="L258"/>
      <c r="M258"/>
      <c r="N258"/>
      <c r="O258"/>
      <c r="P258"/>
    </row>
    <row r="259" spans="1:16" ht="20.25" customHeight="1" x14ac:dyDescent="0.25">
      <c r="A259"/>
      <c r="B259"/>
      <c r="C259"/>
      <c r="D259"/>
      <c r="E259"/>
      <c r="F259"/>
      <c r="G259"/>
      <c r="H259"/>
      <c r="I259"/>
      <c r="J259"/>
      <c r="K259"/>
      <c r="L259"/>
      <c r="M259"/>
      <c r="N259"/>
      <c r="O259"/>
      <c r="P259"/>
    </row>
    <row r="260" spans="1:16" ht="20.25" customHeight="1" x14ac:dyDescent="0.25">
      <c r="A260"/>
      <c r="B260"/>
      <c r="C260"/>
      <c r="D260"/>
      <c r="E260"/>
      <c r="F260"/>
      <c r="G260"/>
      <c r="H260"/>
      <c r="I260"/>
      <c r="J260"/>
      <c r="K260"/>
      <c r="L260"/>
      <c r="M260"/>
      <c r="N260"/>
      <c r="O260"/>
      <c r="P260"/>
    </row>
    <row r="261" spans="1:16" ht="20.25" customHeight="1" x14ac:dyDescent="0.25">
      <c r="A261"/>
      <c r="B261"/>
      <c r="C261"/>
      <c r="D261"/>
      <c r="E261"/>
      <c r="F261"/>
      <c r="G261"/>
      <c r="H261"/>
      <c r="I261"/>
      <c r="J261"/>
      <c r="K261"/>
      <c r="L261"/>
      <c r="M261"/>
      <c r="N261"/>
      <c r="O261"/>
      <c r="P261"/>
    </row>
    <row r="262" spans="1:16" ht="20.25" customHeight="1" x14ac:dyDescent="0.25">
      <c r="A262"/>
      <c r="B262"/>
      <c r="C262"/>
      <c r="D262"/>
      <c r="E262"/>
      <c r="F262"/>
      <c r="G262"/>
      <c r="H262"/>
      <c r="I262"/>
      <c r="J262"/>
      <c r="K262"/>
      <c r="L262"/>
      <c r="M262"/>
      <c r="N262"/>
      <c r="O262"/>
      <c r="P262"/>
    </row>
    <row r="263" spans="1:16" ht="20.25" customHeight="1" x14ac:dyDescent="0.25">
      <c r="A263"/>
      <c r="B263"/>
      <c r="C263"/>
      <c r="D263"/>
      <c r="E263"/>
      <c r="F263"/>
      <c r="G263"/>
      <c r="H263"/>
      <c r="I263"/>
      <c r="J263"/>
      <c r="K263"/>
      <c r="L263"/>
      <c r="M263"/>
      <c r="N263"/>
      <c r="O263"/>
      <c r="P263"/>
    </row>
    <row r="264" spans="1:16" ht="20.25" customHeight="1" x14ac:dyDescent="0.25">
      <c r="A264"/>
      <c r="B264"/>
      <c r="C264"/>
      <c r="D264"/>
      <c r="E264"/>
      <c r="F264"/>
      <c r="G264"/>
      <c r="H264"/>
      <c r="I264"/>
      <c r="J264"/>
      <c r="K264"/>
      <c r="L264"/>
      <c r="M264"/>
      <c r="N264"/>
      <c r="O264"/>
      <c r="P264"/>
    </row>
    <row r="265" spans="1:16" ht="20.25" customHeight="1" x14ac:dyDescent="0.25">
      <c r="A265"/>
      <c r="B265"/>
      <c r="C265"/>
      <c r="D265"/>
      <c r="E265"/>
      <c r="F265"/>
      <c r="G265"/>
      <c r="H265"/>
      <c r="I265"/>
      <c r="J265"/>
      <c r="K265"/>
      <c r="L265"/>
      <c r="M265"/>
      <c r="N265"/>
      <c r="O265"/>
      <c r="P265"/>
    </row>
    <row r="266" spans="1:16" ht="20.25" customHeight="1" x14ac:dyDescent="0.25">
      <c r="A266"/>
      <c r="B266"/>
      <c r="C266"/>
      <c r="D266"/>
      <c r="E266"/>
      <c r="F266"/>
      <c r="G266"/>
      <c r="H266"/>
      <c r="I266"/>
      <c r="J266"/>
      <c r="K266"/>
      <c r="L266"/>
      <c r="M266"/>
      <c r="N266"/>
      <c r="O266"/>
      <c r="P266"/>
    </row>
    <row r="267" spans="1:16" ht="20.25" customHeight="1" x14ac:dyDescent="0.25">
      <c r="A267"/>
      <c r="B267"/>
      <c r="C267"/>
      <c r="D267"/>
      <c r="E267"/>
      <c r="F267"/>
      <c r="G267"/>
      <c r="H267"/>
      <c r="I267"/>
      <c r="J267"/>
      <c r="K267"/>
      <c r="L267"/>
      <c r="M267"/>
      <c r="N267"/>
      <c r="O267"/>
      <c r="P267"/>
    </row>
    <row r="268" spans="1:16" ht="20.25" customHeight="1" x14ac:dyDescent="0.25">
      <c r="A268"/>
      <c r="B268"/>
      <c r="C268"/>
      <c r="D268"/>
      <c r="E268"/>
      <c r="F268"/>
      <c r="G268"/>
      <c r="H268"/>
      <c r="I268"/>
      <c r="J268"/>
      <c r="K268"/>
      <c r="L268"/>
      <c r="M268"/>
      <c r="N268"/>
      <c r="O268"/>
      <c r="P268"/>
    </row>
    <row r="269" spans="1:16" ht="20.25" customHeight="1" x14ac:dyDescent="0.25">
      <c r="A269"/>
      <c r="B269"/>
      <c r="C269"/>
      <c r="D269"/>
      <c r="E269"/>
      <c r="F269"/>
      <c r="G269"/>
      <c r="H269"/>
      <c r="I269"/>
      <c r="J269"/>
      <c r="K269"/>
      <c r="L269"/>
      <c r="M269"/>
      <c r="N269"/>
      <c r="O269"/>
      <c r="P269"/>
    </row>
    <row r="270" spans="1:16" ht="20.25" customHeight="1" x14ac:dyDescent="0.25">
      <c r="A270"/>
      <c r="B270"/>
      <c r="C270"/>
      <c r="D270"/>
      <c r="E270"/>
      <c r="F270"/>
      <c r="G270"/>
      <c r="H270"/>
      <c r="I270"/>
      <c r="J270"/>
      <c r="K270"/>
      <c r="L270"/>
      <c r="M270"/>
      <c r="N270"/>
      <c r="O270"/>
      <c r="P270"/>
    </row>
    <row r="271" spans="1:16" ht="20.25" customHeight="1" x14ac:dyDescent="0.25">
      <c r="A271"/>
      <c r="B271"/>
      <c r="C271"/>
      <c r="D271"/>
      <c r="E271"/>
      <c r="F271"/>
      <c r="G271"/>
      <c r="H271"/>
      <c r="I271"/>
      <c r="J271"/>
      <c r="K271"/>
      <c r="L271"/>
      <c r="M271"/>
      <c r="N271"/>
      <c r="O271"/>
      <c r="P271"/>
    </row>
    <row r="272" spans="1:16" ht="20.25" customHeight="1" x14ac:dyDescent="0.25">
      <c r="A272"/>
      <c r="B272"/>
      <c r="C272"/>
      <c r="D272"/>
      <c r="E272"/>
      <c r="F272"/>
      <c r="G272"/>
      <c r="H272"/>
      <c r="I272"/>
      <c r="J272"/>
      <c r="K272"/>
      <c r="L272"/>
      <c r="M272"/>
      <c r="N272"/>
      <c r="O272"/>
      <c r="P272"/>
    </row>
    <row r="273" spans="1:16" ht="20.25" customHeight="1" x14ac:dyDescent="0.25">
      <c r="A273"/>
      <c r="B273"/>
      <c r="C273"/>
      <c r="D273"/>
      <c r="E273"/>
      <c r="F273"/>
      <c r="G273"/>
      <c r="H273"/>
      <c r="I273"/>
      <c r="J273"/>
      <c r="K273"/>
      <c r="L273"/>
      <c r="M273"/>
      <c r="N273"/>
      <c r="O273"/>
      <c r="P273"/>
    </row>
    <row r="274" spans="1:16" ht="20.25" customHeight="1" x14ac:dyDescent="0.25">
      <c r="A274"/>
      <c r="B274"/>
      <c r="C274"/>
      <c r="D274"/>
      <c r="E274"/>
      <c r="F274"/>
      <c r="G274"/>
      <c r="H274"/>
      <c r="I274"/>
      <c r="J274"/>
      <c r="K274"/>
      <c r="L274"/>
      <c r="M274"/>
      <c r="N274"/>
      <c r="O274"/>
      <c r="P274"/>
    </row>
    <row r="275" spans="1:16" ht="20.25" customHeight="1" x14ac:dyDescent="0.25">
      <c r="A275"/>
      <c r="B275"/>
      <c r="C275"/>
      <c r="D275"/>
      <c r="E275"/>
      <c r="F275"/>
      <c r="G275"/>
      <c r="H275"/>
      <c r="I275"/>
      <c r="J275"/>
      <c r="K275"/>
      <c r="L275"/>
      <c r="M275"/>
      <c r="N275"/>
      <c r="O275"/>
      <c r="P275"/>
    </row>
    <row r="276" spans="1:16" ht="20.25" customHeight="1" x14ac:dyDescent="0.25">
      <c r="A276"/>
      <c r="B276"/>
      <c r="C276"/>
      <c r="D276"/>
      <c r="E276"/>
      <c r="F276"/>
      <c r="G276"/>
      <c r="H276"/>
      <c r="I276"/>
      <c r="J276"/>
      <c r="K276"/>
      <c r="L276"/>
      <c r="M276"/>
      <c r="N276"/>
      <c r="O276"/>
      <c r="P276"/>
    </row>
    <row r="277" spans="1:16" ht="20.25" customHeight="1" x14ac:dyDescent="0.25">
      <c r="A277"/>
      <c r="B277"/>
      <c r="C277"/>
      <c r="D277"/>
      <c r="E277"/>
      <c r="F277"/>
      <c r="G277"/>
      <c r="H277"/>
      <c r="I277"/>
      <c r="J277"/>
      <c r="K277"/>
      <c r="L277"/>
      <c r="M277"/>
      <c r="N277"/>
      <c r="O277"/>
      <c r="P277"/>
    </row>
    <row r="278" spans="1:16" ht="20.25" customHeight="1" x14ac:dyDescent="0.25">
      <c r="A278"/>
      <c r="B278"/>
      <c r="C278"/>
      <c r="D278"/>
      <c r="E278"/>
      <c r="F278"/>
      <c r="G278"/>
      <c r="H278"/>
      <c r="I278"/>
      <c r="J278"/>
      <c r="K278"/>
      <c r="L278"/>
      <c r="M278"/>
      <c r="N278"/>
      <c r="O278"/>
      <c r="P278"/>
    </row>
    <row r="279" spans="1:16" ht="20.25" customHeight="1" x14ac:dyDescent="0.25">
      <c r="A279"/>
      <c r="B279"/>
      <c r="C279"/>
      <c r="D279"/>
      <c r="E279"/>
      <c r="F279"/>
      <c r="G279"/>
      <c r="H279"/>
      <c r="I279"/>
      <c r="J279"/>
      <c r="K279"/>
      <c r="L279"/>
      <c r="M279"/>
      <c r="N279"/>
      <c r="O279"/>
      <c r="P279"/>
    </row>
    <row r="280" spans="1:16" ht="20.25" customHeight="1" x14ac:dyDescent="0.25">
      <c r="A280"/>
      <c r="B280"/>
      <c r="C280"/>
      <c r="D280"/>
      <c r="E280"/>
      <c r="F280"/>
      <c r="G280"/>
      <c r="H280"/>
      <c r="I280"/>
      <c r="J280"/>
      <c r="K280"/>
      <c r="L280"/>
      <c r="M280"/>
      <c r="N280"/>
      <c r="O280"/>
      <c r="P280"/>
    </row>
    <row r="281" spans="1:16" ht="20.25" customHeight="1" x14ac:dyDescent="0.25">
      <c r="A281"/>
      <c r="B281"/>
      <c r="C281"/>
      <c r="D281"/>
      <c r="E281"/>
      <c r="F281"/>
      <c r="G281"/>
      <c r="H281"/>
      <c r="I281"/>
      <c r="J281"/>
      <c r="K281"/>
      <c r="L281"/>
      <c r="M281"/>
      <c r="N281"/>
      <c r="O281"/>
      <c r="P281"/>
    </row>
    <row r="282" spans="1:16" ht="20.25" customHeight="1" x14ac:dyDescent="0.25">
      <c r="A282"/>
      <c r="B282"/>
      <c r="C282"/>
      <c r="D282"/>
      <c r="E282"/>
      <c r="F282"/>
      <c r="G282"/>
      <c r="H282"/>
      <c r="I282"/>
      <c r="J282"/>
      <c r="K282"/>
      <c r="L282"/>
      <c r="M282"/>
      <c r="N282"/>
      <c r="O282"/>
      <c r="P282"/>
    </row>
    <row r="283" spans="1:16" ht="20.25" customHeight="1" x14ac:dyDescent="0.25">
      <c r="A283"/>
      <c r="B283"/>
      <c r="C283"/>
      <c r="D283"/>
      <c r="E283"/>
      <c r="F283"/>
      <c r="G283"/>
      <c r="H283"/>
      <c r="I283"/>
      <c r="J283"/>
      <c r="K283"/>
      <c r="L283"/>
      <c r="M283"/>
      <c r="N283"/>
      <c r="O283"/>
      <c r="P283"/>
    </row>
    <row r="284" spans="1:16" ht="20.25" customHeight="1" x14ac:dyDescent="0.25">
      <c r="A284"/>
      <c r="B284"/>
      <c r="C284"/>
      <c r="D284"/>
      <c r="E284"/>
      <c r="F284"/>
      <c r="G284"/>
      <c r="H284"/>
      <c r="I284"/>
      <c r="J284"/>
      <c r="K284"/>
      <c r="L284"/>
      <c r="M284"/>
      <c r="N284"/>
      <c r="O284"/>
      <c r="P284"/>
    </row>
    <row r="285" spans="1:16" ht="20.25" customHeight="1" x14ac:dyDescent="0.25">
      <c r="A285"/>
      <c r="B285"/>
      <c r="C285"/>
      <c r="D285"/>
      <c r="E285"/>
      <c r="F285"/>
      <c r="G285"/>
      <c r="H285"/>
      <c r="I285"/>
      <c r="J285"/>
      <c r="K285"/>
      <c r="L285"/>
      <c r="M285"/>
      <c r="N285"/>
      <c r="O285"/>
      <c r="P285"/>
    </row>
    <row r="286" spans="1:16" ht="20.25" customHeight="1" x14ac:dyDescent="0.25">
      <c r="A286"/>
      <c r="B286"/>
      <c r="C286"/>
      <c r="D286"/>
      <c r="E286"/>
      <c r="F286"/>
      <c r="G286"/>
      <c r="H286"/>
      <c r="I286"/>
      <c r="J286"/>
      <c r="K286"/>
      <c r="L286"/>
      <c r="M286"/>
      <c r="N286"/>
      <c r="O286"/>
      <c r="P286"/>
    </row>
    <row r="287" spans="1:16" ht="20.25" customHeight="1" x14ac:dyDescent="0.25">
      <c r="A287"/>
      <c r="B287"/>
      <c r="C287"/>
      <c r="D287"/>
      <c r="E287"/>
      <c r="F287"/>
      <c r="G287"/>
      <c r="H287"/>
      <c r="I287"/>
      <c r="J287"/>
      <c r="K287"/>
      <c r="L287"/>
      <c r="M287"/>
      <c r="N287"/>
      <c r="O287"/>
      <c r="P287"/>
    </row>
    <row r="288" spans="1:16" ht="20.25" customHeight="1" x14ac:dyDescent="0.25">
      <c r="A288"/>
      <c r="B288"/>
      <c r="C288"/>
      <c r="D288"/>
      <c r="E288"/>
      <c r="F288"/>
      <c r="G288"/>
      <c r="H288"/>
      <c r="I288"/>
      <c r="J288"/>
      <c r="K288"/>
      <c r="L288"/>
      <c r="M288"/>
      <c r="N288"/>
      <c r="O288"/>
      <c r="P288"/>
    </row>
    <row r="289" spans="1:16" ht="20.25" customHeight="1" x14ac:dyDescent="0.25">
      <c r="A289"/>
      <c r="B289"/>
      <c r="C289"/>
      <c r="D289"/>
      <c r="E289"/>
      <c r="F289"/>
      <c r="G289"/>
      <c r="H289"/>
      <c r="I289"/>
      <c r="J289"/>
      <c r="K289"/>
      <c r="L289"/>
      <c r="M289"/>
      <c r="N289"/>
      <c r="O289"/>
      <c r="P289"/>
    </row>
    <row r="290" spans="1:16" ht="20.25" customHeight="1" x14ac:dyDescent="0.25">
      <c r="A290"/>
      <c r="B290"/>
      <c r="C290"/>
      <c r="D290"/>
      <c r="E290"/>
      <c r="F290"/>
      <c r="G290"/>
      <c r="H290"/>
      <c r="I290"/>
      <c r="J290"/>
      <c r="K290"/>
      <c r="L290"/>
      <c r="M290"/>
      <c r="N290"/>
      <c r="O290"/>
      <c r="P290"/>
    </row>
    <row r="291" spans="1:16" ht="20.25" customHeight="1" x14ac:dyDescent="0.25">
      <c r="A291"/>
      <c r="B291"/>
      <c r="C291"/>
      <c r="D291"/>
      <c r="E291"/>
      <c r="F291"/>
      <c r="G291"/>
      <c r="H291"/>
      <c r="I291"/>
      <c r="J291"/>
      <c r="K291"/>
      <c r="L291"/>
      <c r="M291"/>
      <c r="N291"/>
      <c r="O291"/>
      <c r="P291"/>
    </row>
    <row r="292" spans="1:16" ht="3.75" customHeight="1" x14ac:dyDescent="0.25">
      <c r="A292"/>
      <c r="B292"/>
      <c r="C292"/>
      <c r="D292"/>
      <c r="E292"/>
      <c r="F292"/>
      <c r="G292"/>
      <c r="H292"/>
      <c r="I292"/>
      <c r="J292"/>
      <c r="K292"/>
      <c r="L292"/>
      <c r="M292"/>
      <c r="N292"/>
      <c r="O292"/>
      <c r="P292"/>
    </row>
    <row r="293" spans="1:16" x14ac:dyDescent="0.25">
      <c r="A293"/>
      <c r="B293"/>
      <c r="C293"/>
      <c r="D293"/>
      <c r="E293"/>
      <c r="F293"/>
      <c r="G293"/>
      <c r="H293"/>
      <c r="I293"/>
      <c r="J293"/>
      <c r="K293"/>
      <c r="L293"/>
      <c r="M293"/>
      <c r="N293"/>
      <c r="O293"/>
      <c r="P293"/>
    </row>
    <row r="294" spans="1:16" x14ac:dyDescent="0.25">
      <c r="A294"/>
      <c r="B294"/>
      <c r="C294"/>
      <c r="D294"/>
      <c r="E294"/>
      <c r="F294"/>
      <c r="G294"/>
      <c r="H294"/>
      <c r="I294"/>
      <c r="J294"/>
      <c r="K294"/>
      <c r="L294"/>
      <c r="M294"/>
      <c r="N294"/>
      <c r="O294"/>
      <c r="P294"/>
    </row>
  </sheetData>
  <dataConsolidate/>
  <mergeCells count="51">
    <mergeCell ref="A44:B44"/>
    <mergeCell ref="A46:A47"/>
    <mergeCell ref="A48:B48"/>
    <mergeCell ref="A34:A35"/>
    <mergeCell ref="B34:B35"/>
    <mergeCell ref="A36:B36"/>
    <mergeCell ref="A38:A39"/>
    <mergeCell ref="A40:B40"/>
    <mergeCell ref="A42:A43"/>
    <mergeCell ref="M2:O2"/>
    <mergeCell ref="A5:A25"/>
    <mergeCell ref="A26:B26"/>
    <mergeCell ref="A28:A29"/>
    <mergeCell ref="A30:B30"/>
    <mergeCell ref="K2:L2"/>
    <mergeCell ref="A32:B32"/>
    <mergeCell ref="B1:C1"/>
    <mergeCell ref="G1:H1"/>
    <mergeCell ref="B2:D2"/>
    <mergeCell ref="E2:F2"/>
    <mergeCell ref="G2:I2"/>
    <mergeCell ref="F49:F50"/>
    <mergeCell ref="G49:G50"/>
    <mergeCell ref="H49:H50"/>
    <mergeCell ref="I49:I50"/>
    <mergeCell ref="A51:B51"/>
    <mergeCell ref="A49:A50"/>
    <mergeCell ref="B49:B50"/>
    <mergeCell ref="C49:C50"/>
    <mergeCell ref="D49:D50"/>
    <mergeCell ref="E49:E50"/>
    <mergeCell ref="F52:F53"/>
    <mergeCell ref="G52:G53"/>
    <mergeCell ref="H52:H53"/>
    <mergeCell ref="I52:I53"/>
    <mergeCell ref="A54:B54"/>
    <mergeCell ref="A52:A53"/>
    <mergeCell ref="B52:B53"/>
    <mergeCell ref="C52:C53"/>
    <mergeCell ref="D52:D53"/>
    <mergeCell ref="E52:E53"/>
    <mergeCell ref="F55:F56"/>
    <mergeCell ref="G55:G56"/>
    <mergeCell ref="H55:H56"/>
    <mergeCell ref="I55:I56"/>
    <mergeCell ref="A57:B57"/>
    <mergeCell ref="A55:A56"/>
    <mergeCell ref="B55:B56"/>
    <mergeCell ref="C55:C56"/>
    <mergeCell ref="D55:D56"/>
    <mergeCell ref="E55:E56"/>
  </mergeCells>
  <conditionalFormatting sqref="H5:I41 M5:N41 M45:N57 H45:I48">
    <cfRule type="cellIs" dxfId="43" priority="25" operator="greaterThan">
      <formula>0.046</formula>
    </cfRule>
    <cfRule type="cellIs" dxfId="42" priority="26" operator="between">
      <formula>0</formula>
      <formula>0.045</formula>
    </cfRule>
    <cfRule type="cellIs" dxfId="41" priority="27" operator="lessThan">
      <formula>0</formula>
    </cfRule>
    <cfRule type="cellIs" dxfId="40" priority="28" operator="greaterThan">
      <formula>0.05</formula>
    </cfRule>
  </conditionalFormatting>
  <conditionalFormatting sqref="B2">
    <cfRule type="cellIs" dxfId="39" priority="24" operator="equal">
      <formula>"*"</formula>
    </cfRule>
  </conditionalFormatting>
  <conditionalFormatting sqref="F59">
    <cfRule type="expression" dxfId="38" priority="22">
      <formula>ABS($F$58-$F$59)&gt;0.01</formula>
    </cfRule>
  </conditionalFormatting>
  <conditionalFormatting sqref="G59">
    <cfRule type="expression" dxfId="37" priority="21">
      <formula>ABS($G$58-$G$59)&gt;0.01</formula>
    </cfRule>
  </conditionalFormatting>
  <conditionalFormatting sqref="H42:I42 M42:N42">
    <cfRule type="cellIs" dxfId="36" priority="12" operator="greaterThan">
      <formula>0.046</formula>
    </cfRule>
    <cfRule type="cellIs" dxfId="35" priority="13" operator="between">
      <formula>0</formula>
      <formula>0.045</formula>
    </cfRule>
    <cfRule type="cellIs" dxfId="34" priority="14" operator="lessThan">
      <formula>0</formula>
    </cfRule>
    <cfRule type="cellIs" dxfId="33" priority="15" operator="greaterThan">
      <formula>0.05</formula>
    </cfRule>
  </conditionalFormatting>
  <conditionalFormatting sqref="H43:I43 M43:N43">
    <cfRule type="cellIs" dxfId="32" priority="8" operator="greaterThan">
      <formula>0.046</formula>
    </cfRule>
    <cfRule type="cellIs" dxfId="31" priority="9" operator="between">
      <formula>0</formula>
      <formula>0.045</formula>
    </cfRule>
    <cfRule type="cellIs" dxfId="30" priority="10" operator="lessThan">
      <formula>0</formula>
    </cfRule>
    <cfRule type="cellIs" dxfId="29" priority="11" operator="greaterThan">
      <formula>0.05</formula>
    </cfRule>
  </conditionalFormatting>
  <conditionalFormatting sqref="H44:I44 M44:N44">
    <cfRule type="cellIs" dxfId="28" priority="4" operator="greaterThan">
      <formula>0.046</formula>
    </cfRule>
    <cfRule type="cellIs" dxfId="27" priority="5" operator="between">
      <formula>0</formula>
      <formula>0.045</formula>
    </cfRule>
    <cfRule type="cellIs" dxfId="26" priority="6" operator="lessThan">
      <formula>0</formula>
    </cfRule>
    <cfRule type="cellIs" dxfId="25" priority="7" operator="greaterThan">
      <formula>0.05</formula>
    </cfRule>
  </conditionalFormatting>
  <conditionalFormatting sqref="K59">
    <cfRule type="expression" dxfId="24" priority="3">
      <formula>ABS($F$58-$F$59)&gt;0.01</formula>
    </cfRule>
  </conditionalFormatting>
  <conditionalFormatting sqref="L59">
    <cfRule type="expression" dxfId="23" priority="2">
      <formula>ABS($G$58-$G$59)&gt;0.01</formula>
    </cfRule>
  </conditionalFormatting>
  <conditionalFormatting sqref="G1:H1">
    <cfRule type="expression" dxfId="22" priority="1">
      <formula>ABS($I$5-$I$3)&gt;0.01</formula>
    </cfRule>
  </conditionalFormatting>
  <pageMargins left="0.25" right="0.25" top="0.5" bottom="0.5" header="0.3" footer="0.3"/>
  <pageSetup scale="10" orientation="landscape" r:id="rId1"/>
  <drawing r:id="rId2"/>
  <legacyDrawing r:id="rId3"/>
  <extLst>
    <ext xmlns:x14="http://schemas.microsoft.com/office/spreadsheetml/2009/9/main" uri="{CCE6A557-97BC-4b89-ADB6-D9C93CAAB3DF}">
      <x14:dataValidations xmlns:xm="http://schemas.microsoft.com/office/excel/2006/main" count="2">
        <x14:dataValidation type="list" showInputMessage="1" showErrorMessage="1" promptTitle="JOB" xr:uid="{113EE242-7309-4E82-9DBD-AC89364C60A3}">
          <x14:formula1>
            <xm:f>Data!#REF!</xm:f>
          </x14:formula1>
          <xm:sqref>F42 B7 F40 C39 E6</xm:sqref>
        </x14:dataValidation>
        <x14:dataValidation type="list" showInputMessage="1" showErrorMessage="1" promptTitle="JOB" xr:uid="{69306EF2-4B9B-4A83-94D4-064167C84FED}">
          <x14:formula1>
            <xm:f>Data!$A$2:$A$5</xm:f>
          </x14:formula1>
          <xm:sqref>B3</xm:sqref>
        </x14:dataValidation>
      </x14:dataValidations>
    </ext>
  </extLst>
</worksheet>
</file>

<file path=xl/worksheets/sheet2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1D2D98FE-FA72-44CB-B766-7456E201DDC7}">
  <sheetPr codeName="Sheet1"/>
  <dimension ref="A1:AR6"/>
  <sheetViews>
    <sheetView topLeftCell="E1" zoomScaleNormal="100" workbookViewId="0">
      <selection activeCell="F9" sqref="F9"/>
    </sheetView>
  </sheetViews>
  <sheetFormatPr defaultColWidth="9.140625" defaultRowHeight="15" x14ac:dyDescent="0.25"/>
  <cols>
    <col min="1" max="1" width="10.5703125" customWidth="1"/>
    <col min="2" max="2" width="10.7109375" customWidth="1"/>
    <col min="3" max="3" width="11.140625" style="285" bestFit="1" customWidth="1"/>
    <col min="4" max="4" width="13.140625" customWidth="1"/>
    <col min="5" max="5" width="12.28515625" style="21" customWidth="1"/>
    <col min="6" max="6" width="14.85546875" customWidth="1"/>
    <col min="7" max="7" width="15.28515625" style="21" customWidth="1"/>
    <col min="8" max="8" width="18.85546875" style="21" customWidth="1"/>
    <col min="9" max="9" width="21.5703125" style="21" customWidth="1"/>
    <col min="10" max="10" width="22" style="21" bestFit="1" customWidth="1"/>
    <col min="11" max="11" width="17.85546875" style="21" customWidth="1"/>
    <col min="12" max="12" width="18.140625" style="23" bestFit="1" customWidth="1"/>
    <col min="13" max="13" width="15" customWidth="1"/>
    <col min="14" max="14" width="12.5703125" customWidth="1"/>
    <col min="15" max="15" width="16.5703125" bestFit="1" customWidth="1"/>
    <col min="16" max="16" width="16.7109375" bestFit="1" customWidth="1"/>
    <col min="17" max="18" width="10.42578125" customWidth="1"/>
    <col min="19" max="19" width="14" customWidth="1"/>
    <col min="20" max="20" width="18" customWidth="1"/>
    <col min="21" max="21" width="11.28515625" customWidth="1"/>
    <col min="22" max="25" width="10.42578125" customWidth="1"/>
    <col min="26" max="26" width="14.140625" customWidth="1"/>
    <col min="27" max="28" width="14.28515625" bestFit="1" customWidth="1"/>
    <col min="29" max="33" width="10.42578125" customWidth="1"/>
    <col min="34" max="34" width="12.5703125" bestFit="1" customWidth="1"/>
    <col min="35" max="40" width="10.42578125" customWidth="1"/>
    <col min="41" max="41" width="15.85546875" bestFit="1" customWidth="1"/>
    <col min="42" max="46" width="10.42578125" customWidth="1"/>
  </cols>
  <sheetData>
    <row r="1" spans="1:44" ht="18" customHeight="1" x14ac:dyDescent="0.25">
      <c r="A1" t="s">
        <v>46</v>
      </c>
      <c r="B1" t="s">
        <v>42</v>
      </c>
      <c r="C1" t="s">
        <v>43</v>
      </c>
      <c r="D1" t="s">
        <v>47</v>
      </c>
      <c r="E1" t="s">
        <v>48</v>
      </c>
      <c r="F1" t="s">
        <v>49</v>
      </c>
      <c r="G1" t="s">
        <v>50</v>
      </c>
      <c r="H1" t="s">
        <v>51</v>
      </c>
      <c r="I1" t="s">
        <v>34</v>
      </c>
      <c r="J1" t="s">
        <v>52</v>
      </c>
      <c r="K1" t="s">
        <v>53</v>
      </c>
      <c r="L1" t="s">
        <v>54</v>
      </c>
      <c r="M1" t="s">
        <v>55</v>
      </c>
      <c r="N1" t="s">
        <v>56</v>
      </c>
      <c r="O1" t="s">
        <v>57</v>
      </c>
      <c r="P1" t="s">
        <v>73</v>
      </c>
      <c r="Q1" t="s">
        <v>58</v>
      </c>
      <c r="R1" t="s">
        <v>59</v>
      </c>
      <c r="S1" t="s">
        <v>60</v>
      </c>
      <c r="T1" t="s">
        <v>61</v>
      </c>
      <c r="U1" t="s">
        <v>62</v>
      </c>
      <c r="V1" t="s">
        <v>63</v>
      </c>
      <c r="W1" t="s">
        <v>64</v>
      </c>
      <c r="X1" t="s">
        <v>65</v>
      </c>
      <c r="Y1" t="s">
        <v>66</v>
      </c>
      <c r="Z1" t="s">
        <v>67</v>
      </c>
      <c r="AA1" t="s">
        <v>68</v>
      </c>
      <c r="AB1" t="s">
        <v>69</v>
      </c>
      <c r="AC1" t="s">
        <v>22</v>
      </c>
      <c r="AD1" t="s">
        <v>23</v>
      </c>
      <c r="AE1" t="s">
        <v>70</v>
      </c>
      <c r="AF1" t="s">
        <v>71</v>
      </c>
      <c r="AG1" t="s">
        <v>72</v>
      </c>
      <c r="AH1" t="s">
        <v>74</v>
      </c>
      <c r="AI1" t="s">
        <v>75</v>
      </c>
      <c r="AJ1" t="s">
        <v>76</v>
      </c>
      <c r="AK1" t="s">
        <v>77</v>
      </c>
      <c r="AL1" t="s">
        <v>78</v>
      </c>
      <c r="AM1" t="s">
        <v>79</v>
      </c>
      <c r="AN1" t="s">
        <v>80</v>
      </c>
      <c r="AO1" t="s">
        <v>81</v>
      </c>
      <c r="AP1" t="s">
        <v>82</v>
      </c>
      <c r="AQ1" t="s">
        <v>83</v>
      </c>
      <c r="AR1" t="s">
        <v>84</v>
      </c>
    </row>
    <row r="2" spans="1:44" x14ac:dyDescent="0.25">
      <c r="A2">
        <v>56213200</v>
      </c>
      <c r="B2">
        <v>184</v>
      </c>
      <c r="C2" s="285">
        <v>0</v>
      </c>
      <c r="D2">
        <v>184</v>
      </c>
      <c r="E2" s="21">
        <v>4720.32</v>
      </c>
      <c r="F2">
        <v>0</v>
      </c>
      <c r="G2" s="21">
        <v>0</v>
      </c>
      <c r="H2" s="21">
        <v>0</v>
      </c>
      <c r="I2" s="21">
        <v>0</v>
      </c>
      <c r="J2" s="21">
        <v>0</v>
      </c>
      <c r="K2" s="21">
        <v>0</v>
      </c>
      <c r="L2" s="24">
        <v>0</v>
      </c>
      <c r="M2" s="21">
        <v>0</v>
      </c>
      <c r="N2" s="21">
        <v>0</v>
      </c>
      <c r="O2" s="21">
        <v>0</v>
      </c>
      <c r="P2">
        <v>0</v>
      </c>
      <c r="Q2">
        <v>0</v>
      </c>
      <c r="R2">
        <v>0</v>
      </c>
      <c r="S2">
        <v>0</v>
      </c>
      <c r="T2">
        <v>0</v>
      </c>
      <c r="U2">
        <v>0</v>
      </c>
      <c r="V2">
        <v>0</v>
      </c>
      <c r="W2">
        <v>0</v>
      </c>
      <c r="X2">
        <v>0</v>
      </c>
      <c r="Y2">
        <v>0</v>
      </c>
      <c r="Z2">
        <v>0</v>
      </c>
      <c r="AA2">
        <v>0</v>
      </c>
      <c r="AB2">
        <v>0</v>
      </c>
      <c r="AC2">
        <v>0</v>
      </c>
      <c r="AD2">
        <v>0</v>
      </c>
      <c r="AE2">
        <v>0</v>
      </c>
      <c r="AF2">
        <v>0</v>
      </c>
      <c r="AG2">
        <v>0</v>
      </c>
      <c r="AH2">
        <v>0</v>
      </c>
      <c r="AI2">
        <v>0</v>
      </c>
      <c r="AJ2">
        <v>0</v>
      </c>
      <c r="AK2">
        <v>0</v>
      </c>
      <c r="AL2">
        <v>0</v>
      </c>
      <c r="AM2">
        <v>0</v>
      </c>
      <c r="AN2">
        <v>0</v>
      </c>
      <c r="AO2">
        <v>0</v>
      </c>
      <c r="AP2">
        <v>0</v>
      </c>
      <c r="AQ2">
        <v>0</v>
      </c>
      <c r="AR2">
        <v>0</v>
      </c>
    </row>
    <row r="3" spans="1:44" x14ac:dyDescent="0.25">
      <c r="A3">
        <v>56403200</v>
      </c>
      <c r="B3">
        <v>1797</v>
      </c>
      <c r="C3" s="285">
        <v>593</v>
      </c>
      <c r="D3">
        <v>2390</v>
      </c>
      <c r="E3" s="21">
        <v>110726.3</v>
      </c>
      <c r="F3">
        <v>1</v>
      </c>
      <c r="G3" s="21">
        <v>50</v>
      </c>
      <c r="H3" s="21">
        <v>0</v>
      </c>
      <c r="I3" s="21">
        <v>130</v>
      </c>
      <c r="J3" s="21">
        <v>0</v>
      </c>
      <c r="K3" s="21">
        <v>480</v>
      </c>
      <c r="L3" s="24">
        <v>0</v>
      </c>
      <c r="M3" s="21">
        <v>0</v>
      </c>
      <c r="N3" s="21">
        <v>0</v>
      </c>
      <c r="O3" s="21">
        <v>0</v>
      </c>
      <c r="P3">
        <v>0</v>
      </c>
      <c r="Q3">
        <v>7.65</v>
      </c>
      <c r="R3">
        <v>0.6</v>
      </c>
      <c r="S3">
        <v>6.88</v>
      </c>
      <c r="T3">
        <v>9.1</v>
      </c>
      <c r="U3">
        <v>1.26</v>
      </c>
      <c r="V3">
        <v>0.93</v>
      </c>
      <c r="W3">
        <v>0.09</v>
      </c>
      <c r="X3">
        <v>3.5</v>
      </c>
      <c r="Y3">
        <v>1</v>
      </c>
      <c r="Z3">
        <v>0.5</v>
      </c>
      <c r="AA3">
        <v>0.5</v>
      </c>
      <c r="AB3">
        <v>1</v>
      </c>
      <c r="AC3">
        <v>8</v>
      </c>
      <c r="AD3">
        <v>6</v>
      </c>
      <c r="AE3">
        <v>7.65</v>
      </c>
      <c r="AF3">
        <v>0.6</v>
      </c>
      <c r="AG3">
        <v>6.88</v>
      </c>
      <c r="AH3">
        <v>9.1</v>
      </c>
      <c r="AI3">
        <v>1.26</v>
      </c>
      <c r="AJ3">
        <v>0.93</v>
      </c>
      <c r="AK3">
        <v>0.09</v>
      </c>
      <c r="AL3">
        <v>3.5</v>
      </c>
      <c r="AM3">
        <v>1</v>
      </c>
      <c r="AN3">
        <v>0.5</v>
      </c>
      <c r="AO3">
        <v>0.5</v>
      </c>
      <c r="AP3">
        <v>1</v>
      </c>
      <c r="AQ3">
        <v>8</v>
      </c>
      <c r="AR3">
        <v>6</v>
      </c>
    </row>
    <row r="4" spans="1:44" x14ac:dyDescent="0.25">
      <c r="A4">
        <v>56403300</v>
      </c>
      <c r="B4">
        <v>1504</v>
      </c>
      <c r="C4" s="285">
        <v>518</v>
      </c>
      <c r="D4">
        <v>2022</v>
      </c>
      <c r="E4" s="21">
        <v>93701.08</v>
      </c>
      <c r="F4">
        <v>0</v>
      </c>
      <c r="G4" s="21">
        <v>327.5</v>
      </c>
      <c r="H4" s="21">
        <v>0</v>
      </c>
      <c r="I4" s="21">
        <v>0</v>
      </c>
      <c r="J4" s="21">
        <v>0</v>
      </c>
      <c r="K4" s="21">
        <v>0</v>
      </c>
      <c r="L4" s="24">
        <v>0</v>
      </c>
      <c r="M4" s="21">
        <v>0</v>
      </c>
      <c r="N4" s="21">
        <v>0</v>
      </c>
      <c r="O4" s="21">
        <v>0</v>
      </c>
      <c r="P4">
        <v>0</v>
      </c>
      <c r="Q4">
        <v>0</v>
      </c>
      <c r="R4">
        <v>0</v>
      </c>
      <c r="S4">
        <v>0</v>
      </c>
      <c r="T4">
        <v>0</v>
      </c>
      <c r="U4">
        <v>0</v>
      </c>
      <c r="V4">
        <v>0</v>
      </c>
      <c r="W4">
        <v>0</v>
      </c>
      <c r="X4">
        <v>0</v>
      </c>
      <c r="Y4">
        <v>0</v>
      </c>
      <c r="Z4">
        <v>0</v>
      </c>
      <c r="AA4">
        <v>0</v>
      </c>
      <c r="AB4">
        <v>0</v>
      </c>
      <c r="AC4">
        <v>0</v>
      </c>
      <c r="AD4">
        <v>0</v>
      </c>
      <c r="AE4">
        <v>0</v>
      </c>
      <c r="AF4">
        <v>0</v>
      </c>
      <c r="AG4">
        <v>0</v>
      </c>
      <c r="AH4">
        <v>0</v>
      </c>
      <c r="AI4">
        <v>0</v>
      </c>
      <c r="AJ4">
        <v>0</v>
      </c>
      <c r="AK4">
        <v>0</v>
      </c>
      <c r="AL4">
        <v>0</v>
      </c>
      <c r="AM4">
        <v>0</v>
      </c>
      <c r="AN4">
        <v>0</v>
      </c>
      <c r="AO4">
        <v>0</v>
      </c>
      <c r="AP4">
        <v>0</v>
      </c>
      <c r="AQ4">
        <v>0</v>
      </c>
      <c r="AR4">
        <v>0</v>
      </c>
    </row>
    <row r="5" spans="1:44" x14ac:dyDescent="0.25">
      <c r="A5">
        <v>56403600</v>
      </c>
      <c r="B5">
        <v>0</v>
      </c>
      <c r="C5" s="285">
        <v>48</v>
      </c>
      <c r="D5">
        <v>48</v>
      </c>
      <c r="E5" s="21">
        <v>2100.96</v>
      </c>
      <c r="F5">
        <v>0</v>
      </c>
      <c r="G5" s="21">
        <v>0</v>
      </c>
      <c r="H5" s="21">
        <v>0</v>
      </c>
      <c r="I5" s="21">
        <v>0</v>
      </c>
      <c r="J5" s="21">
        <v>0</v>
      </c>
      <c r="K5" s="21">
        <v>0</v>
      </c>
      <c r="L5" s="24">
        <v>0</v>
      </c>
      <c r="M5" s="21">
        <v>0</v>
      </c>
      <c r="N5" s="21">
        <v>0</v>
      </c>
      <c r="O5" s="21">
        <v>0</v>
      </c>
      <c r="P5">
        <v>0</v>
      </c>
      <c r="Q5">
        <v>0</v>
      </c>
      <c r="R5">
        <v>0</v>
      </c>
      <c r="S5">
        <v>0</v>
      </c>
      <c r="T5">
        <v>0</v>
      </c>
      <c r="U5">
        <v>0</v>
      </c>
      <c r="V5">
        <v>0</v>
      </c>
      <c r="W5">
        <v>0</v>
      </c>
      <c r="X5">
        <v>0</v>
      </c>
      <c r="Y5">
        <v>0</v>
      </c>
      <c r="Z5">
        <v>0</v>
      </c>
      <c r="AA5">
        <v>0</v>
      </c>
      <c r="AB5">
        <v>0</v>
      </c>
      <c r="AC5">
        <v>0</v>
      </c>
      <c r="AD5">
        <v>0</v>
      </c>
      <c r="AE5">
        <v>0</v>
      </c>
      <c r="AF5">
        <v>0</v>
      </c>
      <c r="AG5">
        <v>0</v>
      </c>
      <c r="AH5">
        <v>0</v>
      </c>
      <c r="AI5">
        <v>0</v>
      </c>
      <c r="AJ5">
        <v>0</v>
      </c>
      <c r="AK5">
        <v>0</v>
      </c>
      <c r="AL5">
        <v>0</v>
      </c>
      <c r="AM5">
        <v>0</v>
      </c>
      <c r="AN5">
        <v>0</v>
      </c>
      <c r="AO5">
        <v>0</v>
      </c>
      <c r="AP5">
        <v>0</v>
      </c>
      <c r="AQ5">
        <v>0</v>
      </c>
      <c r="AR5">
        <v>0</v>
      </c>
    </row>
    <row r="6" spans="1:44" x14ac:dyDescent="0.25">
      <c r="A6">
        <v>56500300</v>
      </c>
      <c r="B6">
        <v>0</v>
      </c>
      <c r="C6" s="285">
        <v>30</v>
      </c>
      <c r="D6">
        <v>30</v>
      </c>
      <c r="E6" s="21">
        <v>1764.42</v>
      </c>
      <c r="F6">
        <v>0</v>
      </c>
      <c r="G6" s="21">
        <v>0</v>
      </c>
      <c r="H6" s="21">
        <v>0</v>
      </c>
      <c r="I6" s="21">
        <v>0</v>
      </c>
      <c r="J6" s="21">
        <v>0</v>
      </c>
      <c r="K6" s="21">
        <v>0</v>
      </c>
      <c r="L6" s="24">
        <v>0</v>
      </c>
      <c r="M6" s="21">
        <v>0</v>
      </c>
      <c r="N6" s="21">
        <v>0</v>
      </c>
      <c r="O6" s="21">
        <v>0</v>
      </c>
      <c r="P6">
        <v>0</v>
      </c>
      <c r="Q6">
        <v>0</v>
      </c>
      <c r="R6">
        <v>0</v>
      </c>
      <c r="S6">
        <v>0</v>
      </c>
      <c r="T6">
        <v>0</v>
      </c>
      <c r="U6">
        <v>0</v>
      </c>
      <c r="V6">
        <v>0</v>
      </c>
      <c r="W6">
        <v>0</v>
      </c>
      <c r="X6">
        <v>0</v>
      </c>
      <c r="Y6">
        <v>0</v>
      </c>
      <c r="Z6">
        <v>0</v>
      </c>
      <c r="AA6">
        <v>0</v>
      </c>
      <c r="AB6">
        <v>0</v>
      </c>
      <c r="AC6">
        <v>0</v>
      </c>
      <c r="AD6">
        <v>0</v>
      </c>
      <c r="AE6">
        <v>0</v>
      </c>
      <c r="AF6">
        <v>0</v>
      </c>
      <c r="AG6">
        <v>0</v>
      </c>
      <c r="AH6">
        <v>0</v>
      </c>
      <c r="AI6">
        <v>0</v>
      </c>
      <c r="AJ6">
        <v>0</v>
      </c>
      <c r="AK6">
        <v>0</v>
      </c>
      <c r="AL6">
        <v>0</v>
      </c>
      <c r="AM6">
        <v>0</v>
      </c>
      <c r="AN6">
        <v>0</v>
      </c>
      <c r="AO6">
        <v>0</v>
      </c>
      <c r="AP6">
        <v>0</v>
      </c>
      <c r="AQ6">
        <v>0</v>
      </c>
      <c r="AR6">
        <v>0</v>
      </c>
    </row>
  </sheetData>
  <dataConsolidate/>
  <phoneticPr fontId="52" type="noConversion"/>
  <pageMargins left="0.7" right="0.7" top="0.75" bottom="0.75" header="0.3" footer="0.3"/>
  <pageSetup orientation="portrait" r:id="rId1"/>
  <tableParts count="1">
    <tablePart r:id="rId2"/>
  </tableParts>
</worksheet>
</file>

<file path=xl/worksheets/sheet3.xml><?xml version="1.0" encoding="utf-8"?>
<worksheet xmlns="http://schemas.openxmlformats.org/spreadsheetml/2006/main" xmlns:r="http://schemas.openxmlformats.org/officeDocument/2006/relationships" xmlns:xdr="http://schemas.openxmlformats.org/drawingml/2006/spreadsheetDrawing" xmlns:x14="http://schemas.microsoft.com/office/spreadsheetml/2009/9/main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9FF0AFAB-A049-42FC-B64F-C219291902E4}">
  <sheetPr codeName="Sheet127">
    <pageSetUpPr fitToPage="1"/>
  </sheetPr>
  <dimension ref="A1:R294"/>
  <sheetViews>
    <sheetView zoomScale="85" zoomScaleNormal="85" workbookViewId="0">
      <pane xSplit="2" ySplit="4" topLeftCell="C5" activePane="bottomRight" state="frozen"/>
      <selection activeCell="D9" sqref="D9"/>
      <selection pane="topRight" activeCell="D9" sqref="D9"/>
      <selection pane="bottomLeft" activeCell="D9" sqref="D9"/>
      <selection pane="bottomRight" activeCell="B3" sqref="B3"/>
    </sheetView>
  </sheetViews>
  <sheetFormatPr defaultColWidth="9.140625" defaultRowHeight="15" outlineLevelCol="1" x14ac:dyDescent="0.25"/>
  <cols>
    <col min="1" max="1" width="16.5703125" style="29" customWidth="1"/>
    <col min="2" max="2" width="33.42578125" style="29" customWidth="1"/>
    <col min="3" max="3" width="17.85546875" style="29" bestFit="1" customWidth="1"/>
    <col min="4" max="4" width="16.42578125" style="29" customWidth="1"/>
    <col min="5" max="5" width="17.28515625" style="29" customWidth="1"/>
    <col min="6" max="6" width="20.28515625" style="29" customWidth="1"/>
    <col min="7" max="7" width="21.5703125" style="29" customWidth="1"/>
    <col min="8" max="8" width="20.140625" style="29" customWidth="1"/>
    <col min="9" max="9" width="19.140625" style="29" customWidth="1"/>
    <col min="10" max="10" width="17.42578125" style="29" customWidth="1"/>
    <col min="11" max="11" width="27.42578125" style="29" customWidth="1" outlineLevel="1"/>
    <col min="12" max="12" width="25.42578125" style="29" customWidth="1" outlineLevel="1"/>
    <col min="13" max="13" width="23.42578125" style="29" customWidth="1" outlineLevel="1"/>
    <col min="14" max="14" width="18" style="29" customWidth="1" outlineLevel="1"/>
    <col min="15" max="15" width="17.42578125" style="29" customWidth="1" outlineLevel="1"/>
    <col min="16" max="16" width="106.5703125" style="29" customWidth="1"/>
    <col min="17" max="16384" width="9.140625" style="29"/>
  </cols>
  <sheetData>
    <row r="1" spans="1:18" ht="36.75" customHeight="1" thickBot="1" x14ac:dyDescent="0.3">
      <c r="A1" s="25"/>
      <c r="B1" s="441"/>
      <c r="C1" s="441"/>
      <c r="D1" s="393">
        <v>2022</v>
      </c>
      <c r="E1" s="27" t="str">
        <f>IF(AND(A2&lt;&gt;"*",F1),"Contract Break-Down Included", "")</f>
        <v/>
      </c>
      <c r="F1" s="1"/>
      <c r="G1" s="442"/>
      <c r="H1" s="442"/>
      <c r="I1" s="2"/>
      <c r="J1" s="2"/>
      <c r="K1" s="3"/>
      <c r="L1" s="3"/>
      <c r="M1" s="2"/>
      <c r="N1" s="4" t="b">
        <v>1</v>
      </c>
      <c r="O1" s="28"/>
    </row>
    <row r="2" spans="1:18" ht="30" customHeight="1" thickBot="1" x14ac:dyDescent="0.3">
      <c r="A2" s="30" t="s">
        <v>45</v>
      </c>
      <c r="B2" s="443" t="s">
        <v>90</v>
      </c>
      <c r="C2" s="444"/>
      <c r="D2" s="444"/>
      <c r="E2" s="445"/>
      <c r="F2" s="446"/>
      <c r="G2" s="447" t="s">
        <v>0</v>
      </c>
      <c r="H2" s="448"/>
      <c r="I2" s="449"/>
      <c r="J2" s="31" t="str">
        <f>IF(I1,"Over/Under
WIP Variance","")</f>
        <v/>
      </c>
      <c r="K2" s="462" t="s">
        <v>1</v>
      </c>
      <c r="L2" s="463"/>
      <c r="M2" s="450" t="s">
        <v>2</v>
      </c>
      <c r="N2" s="451"/>
      <c r="O2" s="452"/>
      <c r="P2" s="32"/>
      <c r="Q2" s="33"/>
      <c r="R2" s="33"/>
    </row>
    <row r="3" spans="1:18" ht="25.35" customHeight="1" thickBot="1" x14ac:dyDescent="0.3">
      <c r="A3" s="5"/>
      <c r="B3" s="22">
        <v>56403200</v>
      </c>
      <c r="C3" s="34"/>
      <c r="D3" s="34"/>
      <c r="E3" s="35" t="e">
        <v>#REF!</v>
      </c>
      <c r="F3" s="35"/>
      <c r="G3" s="36">
        <f>$G$5/$E$5</f>
        <v>1</v>
      </c>
      <c r="H3" s="37">
        <v>0</v>
      </c>
      <c r="I3" s="38">
        <f>H3-G3</f>
        <v>-1</v>
      </c>
      <c r="J3" s="39" t="s">
        <v>44</v>
      </c>
      <c r="K3" s="40" t="e">
        <v>#REF!</v>
      </c>
      <c r="L3" s="41" t="e">
        <v>#REF!</v>
      </c>
      <c r="M3" s="42" t="e">
        <f>$L$5/$K$3</f>
        <v>#REF!</v>
      </c>
      <c r="N3" s="43">
        <v>0</v>
      </c>
      <c r="O3" s="6" t="e">
        <f>N3-M3</f>
        <v>#REF!</v>
      </c>
      <c r="P3" s="7"/>
      <c r="Q3" s="33"/>
      <c r="R3" s="33"/>
    </row>
    <row r="4" spans="1:18" ht="19.5" thickBot="1" x14ac:dyDescent="0.3">
      <c r="A4" s="44" t="s">
        <v>3</v>
      </c>
      <c r="B4" s="45" t="s">
        <v>4</v>
      </c>
      <c r="C4" s="46" t="s">
        <v>5</v>
      </c>
      <c r="D4" s="46" t="s">
        <v>6</v>
      </c>
      <c r="E4" s="47" t="s">
        <v>7</v>
      </c>
      <c r="F4" s="47" t="s">
        <v>8</v>
      </c>
      <c r="G4" s="45" t="s">
        <v>9</v>
      </c>
      <c r="H4" s="45" t="s">
        <v>10</v>
      </c>
      <c r="I4" s="48" t="s">
        <v>11</v>
      </c>
      <c r="J4" s="49" t="s">
        <v>12</v>
      </c>
      <c r="K4" s="50" t="s">
        <v>13</v>
      </c>
      <c r="L4" s="51" t="s">
        <v>14</v>
      </c>
      <c r="M4" s="51" t="s">
        <v>15</v>
      </c>
      <c r="N4" s="51" t="s">
        <v>16</v>
      </c>
      <c r="O4" s="51" t="s">
        <v>10</v>
      </c>
      <c r="P4" s="52" t="s">
        <v>17</v>
      </c>
    </row>
    <row r="5" spans="1:18" s="62" customFormat="1" ht="26.1" customHeight="1" x14ac:dyDescent="0.25">
      <c r="A5" s="453" t="s">
        <v>18</v>
      </c>
      <c r="B5" s="53" t="s">
        <v>18</v>
      </c>
      <c r="C5" s="292">
        <f>VLOOKUP(B3,DataInfo2[[jobNo]:[ST Hours]],2,0)</f>
        <v>1797</v>
      </c>
      <c r="D5" s="292">
        <f>VLOOKUP(B3,DataInfo2[[jobNo]:[OT Hours]],3,0)</f>
        <v>593</v>
      </c>
      <c r="E5" s="293">
        <f>VLOOKUP(B3,DataInfo2[[jobNo]:[Total Hours]],4,0)</f>
        <v>2390</v>
      </c>
      <c r="F5" s="283">
        <f>VLOOKUP(B3,DataInfo2[[jobNo]:[Labor Cost]],5,0)</f>
        <v>110726.3</v>
      </c>
      <c r="G5" s="284">
        <f>VLOOKUP(B3,DataInfo[[jobNo]:[Total Hours]],4,0)</f>
        <v>2390</v>
      </c>
      <c r="H5" s="54">
        <f>IFERROR(F5-G5,0)</f>
        <v>108336.3</v>
      </c>
      <c r="I5" s="55">
        <f>IFERROR(H5/$E$5,0)</f>
        <v>45.328995815899582</v>
      </c>
      <c r="J5" s="56"/>
      <c r="K5" s="57">
        <f>F5</f>
        <v>110726.3</v>
      </c>
      <c r="L5" s="58">
        <f>G5</f>
        <v>2390</v>
      </c>
      <c r="M5" s="59">
        <f>IFERROR(K5-L5,0)</f>
        <v>108336.3</v>
      </c>
      <c r="N5" s="60">
        <f>IFERROR(M5/$E$3,0)</f>
        <v>0</v>
      </c>
      <c r="O5" s="61"/>
      <c r="P5" s="8"/>
    </row>
    <row r="6" spans="1:18" ht="26.1" customHeight="1" x14ac:dyDescent="0.25">
      <c r="A6" s="454"/>
      <c r="B6" s="63" t="s">
        <v>58</v>
      </c>
      <c r="C6" s="394">
        <f>HLOOKUP(B6,DataInfo2[#All], MATCH(B3,DataInfo2[jobNo],0)+1,FALSE)</f>
        <v>7.65</v>
      </c>
      <c r="D6" s="394">
        <f>HLOOKUP("FICA P",DataInfo2[#All], MATCH(B3,DataInfo2[jobNo],0)+1,FALSE)</f>
        <v>7.65</v>
      </c>
      <c r="E6" s="64"/>
      <c r="F6" s="9">
        <f>(C6*$C$5)+(D6*$D$5)</f>
        <v>18283.5</v>
      </c>
      <c r="G6" s="65"/>
      <c r="H6" s="66">
        <f t="shared" ref="H6:H26" si="0">IFERROR(F6-G6,0)</f>
        <v>18283.5</v>
      </c>
      <c r="I6" s="67">
        <f t="shared" ref="I6:I25" si="1">IFERROR(H6/$E$26,0)</f>
        <v>7.65</v>
      </c>
      <c r="J6" s="68" t="e">
        <v>#REF!</v>
      </c>
      <c r="K6" s="69">
        <f>F6</f>
        <v>18283.5</v>
      </c>
      <c r="L6" s="70">
        <f>G6</f>
        <v>0</v>
      </c>
      <c r="M6" s="71">
        <f>IFERROR(K6-L6,0)</f>
        <v>18283.5</v>
      </c>
      <c r="N6" s="72">
        <f>IFERROR(M6/$E$3,0)</f>
        <v>0</v>
      </c>
      <c r="O6" s="73"/>
      <c r="P6" s="10"/>
    </row>
    <row r="7" spans="1:18" ht="26.1" customHeight="1" x14ac:dyDescent="0.25">
      <c r="A7" s="454"/>
      <c r="B7" s="63" t="s">
        <v>59</v>
      </c>
      <c r="C7" s="394">
        <f>HLOOKUP(B7,DataInfo2[#All], MATCH(B3,DataInfo2[jobNo],0)+1,FALSE)</f>
        <v>0.6</v>
      </c>
      <c r="D7" s="394">
        <f>HLOOKUP("FUI P",DataInfo2[#All], MATCH(B3,DataInfo2[jobNo],0)+1,FALSE)</f>
        <v>0.6</v>
      </c>
      <c r="E7" s="74"/>
      <c r="F7" s="9">
        <f>(C7*$C$5)+(D7*$D$5)</f>
        <v>1434</v>
      </c>
      <c r="G7" s="65"/>
      <c r="H7" s="66">
        <f>IFERROR(F7-G7,0)</f>
        <v>1434</v>
      </c>
      <c r="I7" s="67">
        <f>IFERROR(H7/$E$26,0)</f>
        <v>0.6</v>
      </c>
      <c r="J7" s="75"/>
      <c r="K7" s="69">
        <f>F7</f>
        <v>1434</v>
      </c>
      <c r="L7" s="70">
        <f t="shared" ref="L7:L25" si="2">G7</f>
        <v>0</v>
      </c>
      <c r="M7" s="71">
        <f>IFERROR(K7-L7,0)</f>
        <v>1434</v>
      </c>
      <c r="N7" s="72">
        <f t="shared" ref="N7:N25" si="3">IFERROR(M7/$E$3,0)</f>
        <v>0</v>
      </c>
      <c r="O7" s="73"/>
      <c r="P7" s="10"/>
    </row>
    <row r="8" spans="1:18" ht="26.1" customHeight="1" x14ac:dyDescent="0.25">
      <c r="A8" s="454"/>
      <c r="B8" s="63" t="s">
        <v>60</v>
      </c>
      <c r="C8" s="394">
        <f>HLOOKUP(B8,DataInfo2[#All], MATCH(B3,DataInfo2[jobNo],0)+1,FALSE)</f>
        <v>6.88</v>
      </c>
      <c r="D8" s="394">
        <f>HLOOKUP("SUI P",DataInfo2[#All], MATCH(B3,DataInfo2[jobNo],0)+1,FALSE)</f>
        <v>6.88</v>
      </c>
      <c r="E8" s="76"/>
      <c r="F8" s="9">
        <f>(C8*$C$5)+(D8*$D$5)</f>
        <v>16443.2</v>
      </c>
      <c r="G8" s="65"/>
      <c r="H8" s="66">
        <f>IFERROR(F8-G8,0)</f>
        <v>16443.2</v>
      </c>
      <c r="I8" s="67">
        <f t="shared" si="1"/>
        <v>6.88</v>
      </c>
      <c r="J8" s="75"/>
      <c r="K8" s="69">
        <f t="shared" ref="K8:K25" si="4">F8</f>
        <v>16443.2</v>
      </c>
      <c r="L8" s="70">
        <f t="shared" si="2"/>
        <v>0</v>
      </c>
      <c r="M8" s="71">
        <f t="shared" ref="M8:M25" si="5">IFERROR(K8-L8,0)</f>
        <v>16443.2</v>
      </c>
      <c r="N8" s="72">
        <f t="shared" si="3"/>
        <v>0</v>
      </c>
      <c r="O8" s="73"/>
      <c r="P8" s="10"/>
    </row>
    <row r="9" spans="1:18" ht="30.75" customHeight="1" x14ac:dyDescent="0.25">
      <c r="A9" s="454"/>
      <c r="B9" s="77" t="s">
        <v>61</v>
      </c>
      <c r="C9" s="394">
        <f>HLOOKUP(B9,DataInfo2[#All], MATCH(B3,DataInfo2[jobNo],0)+1,FALSE)</f>
        <v>9.1</v>
      </c>
      <c r="D9" s="394">
        <f>HLOOKUP("WC P",DataInfo2[#All], MATCH(B3,DataInfo2[jobNo],0)+1,FALSE)</f>
        <v>9.1</v>
      </c>
      <c r="E9" s="76"/>
      <c r="F9" s="9">
        <f>(C9*$C$5)+(D9*$D$5)</f>
        <v>21749</v>
      </c>
      <c r="G9" s="65"/>
      <c r="H9" s="66">
        <f>IFERROR(F9-G9,0)</f>
        <v>21749</v>
      </c>
      <c r="I9" s="67">
        <f t="shared" si="1"/>
        <v>9.1</v>
      </c>
      <c r="J9" s="75"/>
      <c r="K9" s="69">
        <f t="shared" si="4"/>
        <v>21749</v>
      </c>
      <c r="L9" s="70">
        <f t="shared" si="2"/>
        <v>0</v>
      </c>
      <c r="M9" s="71">
        <f t="shared" si="5"/>
        <v>21749</v>
      </c>
      <c r="N9" s="72">
        <f t="shared" si="3"/>
        <v>0</v>
      </c>
      <c r="O9" s="73"/>
      <c r="P9" s="10"/>
    </row>
    <row r="10" spans="1:18" ht="26.1" customHeight="1" x14ac:dyDescent="0.25">
      <c r="A10" s="454"/>
      <c r="B10" s="77" t="s">
        <v>62</v>
      </c>
      <c r="C10" s="394">
        <f>HLOOKUP(B10,DataInfo2[#All], MATCH(B3,DataInfo2[jobNo],0)+1,FALSE)</f>
        <v>1.26</v>
      </c>
      <c r="D10" s="394">
        <f>HLOOKUP("Gen Liab P",DataInfo2[#All], MATCH(B3,DataInfo2[jobNo],0)+1,FALSE)</f>
        <v>1.26</v>
      </c>
      <c r="E10" s="76"/>
      <c r="F10" s="9">
        <f>(C10*$C$5)+(D10*$D$5)</f>
        <v>3011.3999999999996</v>
      </c>
      <c r="G10" s="65"/>
      <c r="H10" s="66">
        <f>IFERROR(F10-G10,0)</f>
        <v>3011.3999999999996</v>
      </c>
      <c r="I10" s="67">
        <f t="shared" si="1"/>
        <v>1.2599999999999998</v>
      </c>
      <c r="J10" s="75"/>
      <c r="K10" s="69">
        <f t="shared" si="4"/>
        <v>3011.3999999999996</v>
      </c>
      <c r="L10" s="70">
        <f t="shared" si="2"/>
        <v>0</v>
      </c>
      <c r="M10" s="71">
        <f t="shared" si="5"/>
        <v>3011.3999999999996</v>
      </c>
      <c r="N10" s="72">
        <f t="shared" si="3"/>
        <v>0</v>
      </c>
      <c r="O10" s="73"/>
      <c r="P10" s="10"/>
    </row>
    <row r="11" spans="1:18" ht="26.1" customHeight="1" x14ac:dyDescent="0.25">
      <c r="A11" s="454"/>
      <c r="B11" s="63" t="s">
        <v>63</v>
      </c>
      <c r="C11" s="394">
        <f>HLOOKUP(B11,DataInfo2[#All], MATCH(B3,DataInfo2[jobNo],0)+1,FALSE)</f>
        <v>0.93</v>
      </c>
      <c r="D11" s="394">
        <f>HLOOKUP("Umbr P",DataInfo2[#All], MATCH(B3,DataInfo2[jobNo],0)+1,FALSE)</f>
        <v>0.93</v>
      </c>
      <c r="E11" s="76"/>
      <c r="F11" s="9">
        <f t="shared" ref="F11:F25" si="6">(C11*$C$5)+(D11*$D$5)</f>
        <v>2222.6999999999998</v>
      </c>
      <c r="G11" s="65"/>
      <c r="H11" s="66">
        <f t="shared" si="0"/>
        <v>2222.6999999999998</v>
      </c>
      <c r="I11" s="67">
        <f t="shared" si="1"/>
        <v>0.92999999999999994</v>
      </c>
      <c r="J11" s="75"/>
      <c r="K11" s="69">
        <f t="shared" si="4"/>
        <v>2222.6999999999998</v>
      </c>
      <c r="L11" s="70">
        <f t="shared" si="2"/>
        <v>0</v>
      </c>
      <c r="M11" s="71">
        <f t="shared" si="5"/>
        <v>2222.6999999999998</v>
      </c>
      <c r="N11" s="72">
        <f t="shared" si="3"/>
        <v>0</v>
      </c>
      <c r="O11" s="73"/>
      <c r="P11" s="10"/>
    </row>
    <row r="12" spans="1:18" ht="26.1" customHeight="1" x14ac:dyDescent="0.25">
      <c r="A12" s="454"/>
      <c r="B12" s="63" t="s">
        <v>64</v>
      </c>
      <c r="C12" s="394">
        <f>HLOOKUP(B12,DataInfo2[#All], MATCH(B3,DataInfo2[jobNo],0)+1,FALSE)</f>
        <v>0.09</v>
      </c>
      <c r="D12" s="394">
        <f>HLOOKUP("Pollution P",DataInfo2[#All], MATCH(B3,DataInfo2[jobNo],0)+1,FALSE)</f>
        <v>0.09</v>
      </c>
      <c r="E12" s="76"/>
      <c r="F12" s="9">
        <f t="shared" si="6"/>
        <v>215.1</v>
      </c>
      <c r="G12" s="65"/>
      <c r="H12" s="66">
        <f t="shared" si="0"/>
        <v>215.1</v>
      </c>
      <c r="I12" s="67">
        <f t="shared" si="1"/>
        <v>0.09</v>
      </c>
      <c r="J12" s="75"/>
      <c r="K12" s="69">
        <f t="shared" si="4"/>
        <v>215.1</v>
      </c>
      <c r="L12" s="70">
        <f t="shared" si="2"/>
        <v>0</v>
      </c>
      <c r="M12" s="71">
        <f t="shared" si="5"/>
        <v>215.1</v>
      </c>
      <c r="N12" s="72">
        <f t="shared" si="3"/>
        <v>0</v>
      </c>
      <c r="O12" s="73"/>
      <c r="P12" s="10"/>
    </row>
    <row r="13" spans="1:18" ht="26.1" customHeight="1" x14ac:dyDescent="0.25">
      <c r="A13" s="454"/>
      <c r="B13" s="63" t="s">
        <v>65</v>
      </c>
      <c r="C13" s="394">
        <f>HLOOKUP(B13,DataInfo2[#All], MATCH(B3,DataInfo2[jobNo],0)+1,FALSE)</f>
        <v>3.5</v>
      </c>
      <c r="D13" s="394">
        <f>HLOOKUP("Healt P",DataInfo2[#All], MATCH(B3,DataInfo2[jobNo],0)+1,FALSE)</f>
        <v>3.5</v>
      </c>
      <c r="E13" s="76" t="s">
        <v>19</v>
      </c>
      <c r="F13" s="9">
        <f t="shared" si="6"/>
        <v>8365</v>
      </c>
      <c r="G13" s="65"/>
      <c r="H13" s="66">
        <f t="shared" si="0"/>
        <v>8365</v>
      </c>
      <c r="I13" s="67">
        <f t="shared" si="1"/>
        <v>3.5</v>
      </c>
      <c r="J13" s="75"/>
      <c r="K13" s="69">
        <f t="shared" si="4"/>
        <v>8365</v>
      </c>
      <c r="L13" s="70">
        <f t="shared" si="2"/>
        <v>0</v>
      </c>
      <c r="M13" s="71">
        <f t="shared" si="5"/>
        <v>8365</v>
      </c>
      <c r="N13" s="72">
        <f t="shared" si="3"/>
        <v>0</v>
      </c>
      <c r="O13" s="73"/>
      <c r="P13" s="10"/>
    </row>
    <row r="14" spans="1:18" ht="26.1" customHeight="1" x14ac:dyDescent="0.25">
      <c r="A14" s="454"/>
      <c r="B14" s="63" t="s">
        <v>66</v>
      </c>
      <c r="C14" s="394">
        <f>HLOOKUP(B14,DataInfo2[#All], MATCH(B3,DataInfo2[jobNo],0)+1,FALSE)</f>
        <v>1</v>
      </c>
      <c r="D14" s="394">
        <f>HLOOKUP("Fringe P",DataInfo2[#All], MATCH(B3,DataInfo2[jobNo],0)+1,FALSE)</f>
        <v>1</v>
      </c>
      <c r="E14" s="78"/>
      <c r="F14" s="9">
        <f t="shared" si="6"/>
        <v>2390</v>
      </c>
      <c r="G14" s="65"/>
      <c r="H14" s="66">
        <f t="shared" si="0"/>
        <v>2390</v>
      </c>
      <c r="I14" s="67">
        <f t="shared" si="1"/>
        <v>1</v>
      </c>
      <c r="J14" s="75"/>
      <c r="K14" s="69">
        <f t="shared" si="4"/>
        <v>2390</v>
      </c>
      <c r="L14" s="70">
        <f t="shared" si="2"/>
        <v>0</v>
      </c>
      <c r="M14" s="71">
        <f t="shared" si="5"/>
        <v>2390</v>
      </c>
      <c r="N14" s="72">
        <f t="shared" si="3"/>
        <v>0</v>
      </c>
      <c r="O14" s="73"/>
      <c r="P14" s="10"/>
    </row>
    <row r="15" spans="1:18" ht="26.1" customHeight="1" x14ac:dyDescent="0.25">
      <c r="A15" s="454"/>
      <c r="B15" s="63" t="s">
        <v>67</v>
      </c>
      <c r="C15" s="394">
        <f>HLOOKUP(B15,DataInfo2[#All], MATCH(B3,DataInfo2[jobNo],0)+1,FALSE)</f>
        <v>0.5</v>
      </c>
      <c r="D15" s="394">
        <f>HLOOKUP("Small P",DataInfo2[#All], MATCH(B3,DataInfo2[jobNo],0)+1,FALSE)</f>
        <v>0.5</v>
      </c>
      <c r="E15" s="76"/>
      <c r="F15" s="9">
        <f t="shared" si="6"/>
        <v>1195</v>
      </c>
      <c r="G15" s="65"/>
      <c r="H15" s="66">
        <f t="shared" si="0"/>
        <v>1195</v>
      </c>
      <c r="I15" s="67">
        <f t="shared" si="1"/>
        <v>0.5</v>
      </c>
      <c r="J15" s="75"/>
      <c r="K15" s="69">
        <f t="shared" si="4"/>
        <v>1195</v>
      </c>
      <c r="L15" s="70">
        <f t="shared" si="2"/>
        <v>0</v>
      </c>
      <c r="M15" s="71">
        <f t="shared" si="5"/>
        <v>1195</v>
      </c>
      <c r="N15" s="72">
        <f t="shared" si="3"/>
        <v>0</v>
      </c>
      <c r="O15" s="73"/>
      <c r="P15" s="10"/>
    </row>
    <row r="16" spans="1:18" ht="26.1" customHeight="1" x14ac:dyDescent="0.25">
      <c r="A16" s="454"/>
      <c r="B16" s="63" t="s">
        <v>68</v>
      </c>
      <c r="C16" s="394">
        <f>HLOOKUP(B16,DataInfo2[#All], MATCH(B3,DataInfo2[jobNo],0)+1,FALSE)</f>
        <v>0.5</v>
      </c>
      <c r="D16" s="394">
        <f>HLOOKUP("PPE P",DataInfo2[#All], MATCH(B3,DataInfo2[jobNo],0)+1,FALSE)</f>
        <v>0.5</v>
      </c>
      <c r="E16" s="76" t="s">
        <v>19</v>
      </c>
      <c r="F16" s="9">
        <f t="shared" si="6"/>
        <v>1195</v>
      </c>
      <c r="G16" s="65"/>
      <c r="H16" s="66">
        <f t="shared" si="0"/>
        <v>1195</v>
      </c>
      <c r="I16" s="67">
        <f t="shared" si="1"/>
        <v>0.5</v>
      </c>
      <c r="J16" s="75"/>
      <c r="K16" s="69">
        <f t="shared" si="4"/>
        <v>1195</v>
      </c>
      <c r="L16" s="70">
        <f t="shared" si="2"/>
        <v>0</v>
      </c>
      <c r="M16" s="71">
        <f t="shared" si="5"/>
        <v>1195</v>
      </c>
      <c r="N16" s="72">
        <f t="shared" si="3"/>
        <v>0</v>
      </c>
      <c r="O16" s="73"/>
      <c r="P16" s="11"/>
    </row>
    <row r="17" spans="1:16" ht="26.1" customHeight="1" x14ac:dyDescent="0.25">
      <c r="A17" s="454"/>
      <c r="B17" s="63" t="s">
        <v>69</v>
      </c>
      <c r="C17" s="394">
        <f>HLOOKUP(B17,DataInfo2[#All], MATCH(B3,DataInfo2[jobNo],0)+1,FALSE)</f>
        <v>1</v>
      </c>
      <c r="D17" s="394">
        <f>HLOOKUP("Consumable P",DataInfo2[#All], MATCH(B3,DataInfo2[jobNo],0)+1,FALSE)</f>
        <v>1</v>
      </c>
      <c r="E17" s="76" t="s">
        <v>19</v>
      </c>
      <c r="F17" s="9">
        <f t="shared" si="6"/>
        <v>2390</v>
      </c>
      <c r="G17" s="65"/>
      <c r="H17" s="66">
        <f t="shared" si="0"/>
        <v>2390</v>
      </c>
      <c r="I17" s="67">
        <f t="shared" si="1"/>
        <v>1</v>
      </c>
      <c r="J17" s="75"/>
      <c r="K17" s="69">
        <f t="shared" si="4"/>
        <v>2390</v>
      </c>
      <c r="L17" s="70">
        <f t="shared" si="2"/>
        <v>0</v>
      </c>
      <c r="M17" s="71">
        <f t="shared" si="5"/>
        <v>2390</v>
      </c>
      <c r="N17" s="72">
        <f t="shared" si="3"/>
        <v>0</v>
      </c>
      <c r="O17" s="73"/>
      <c r="P17" s="11"/>
    </row>
    <row r="18" spans="1:16" ht="26.1" customHeight="1" x14ac:dyDescent="0.25">
      <c r="A18" s="454"/>
      <c r="B18" s="63" t="s">
        <v>22</v>
      </c>
      <c r="C18" s="394">
        <f>HLOOKUP(B18,DataInfo2[#All], MATCH(B3,DataInfo2[jobNo],0)+1,FALSE)</f>
        <v>8</v>
      </c>
      <c r="D18" s="394">
        <f>HLOOKUP("Overhead P",DataInfo2[#All], MATCH(B3,DataInfo2[jobNo],0)+1,FALSE)</f>
        <v>8</v>
      </c>
      <c r="E18" s="76" t="s">
        <v>19</v>
      </c>
      <c r="F18" s="9">
        <f t="shared" si="6"/>
        <v>19120</v>
      </c>
      <c r="G18" s="65"/>
      <c r="H18" s="66">
        <f t="shared" si="0"/>
        <v>19120</v>
      </c>
      <c r="I18" s="67">
        <f t="shared" si="1"/>
        <v>8</v>
      </c>
      <c r="J18" s="75"/>
      <c r="K18" s="69">
        <f t="shared" si="4"/>
        <v>19120</v>
      </c>
      <c r="L18" s="70">
        <f t="shared" si="2"/>
        <v>0</v>
      </c>
      <c r="M18" s="71">
        <f t="shared" si="5"/>
        <v>19120</v>
      </c>
      <c r="N18" s="72">
        <f t="shared" si="3"/>
        <v>0</v>
      </c>
      <c r="O18" s="73"/>
      <c r="P18" s="11"/>
    </row>
    <row r="19" spans="1:16" ht="26.1" customHeight="1" x14ac:dyDescent="0.25">
      <c r="A19" s="454"/>
      <c r="B19" s="63" t="s">
        <v>23</v>
      </c>
      <c r="C19" s="394">
        <f>HLOOKUP(B19,DataInfo2[#All], MATCH(B3,DataInfo2[jobNo],0)+1,FALSE)</f>
        <v>6</v>
      </c>
      <c r="D19" s="394">
        <f>HLOOKUP("Profit P",DataInfo2[#All], MATCH(B3,DataInfo2[jobNo],0)+1,FALSE)</f>
        <v>6</v>
      </c>
      <c r="E19" s="76" t="s">
        <v>19</v>
      </c>
      <c r="F19" s="9">
        <f t="shared" si="6"/>
        <v>14340</v>
      </c>
      <c r="G19" s="65"/>
      <c r="H19" s="66">
        <f t="shared" si="0"/>
        <v>14340</v>
      </c>
      <c r="I19" s="79">
        <f>IFERROR(H19/$E$26,0)</f>
        <v>6</v>
      </c>
      <c r="J19" s="75"/>
      <c r="K19" s="69">
        <f>F19</f>
        <v>14340</v>
      </c>
      <c r="L19" s="70">
        <f t="shared" si="2"/>
        <v>0</v>
      </c>
      <c r="M19" s="71">
        <f t="shared" si="5"/>
        <v>14340</v>
      </c>
      <c r="N19" s="72">
        <f t="shared" si="3"/>
        <v>0</v>
      </c>
      <c r="O19" s="73"/>
      <c r="P19" s="11"/>
    </row>
    <row r="20" spans="1:16" ht="26.1" customHeight="1" x14ac:dyDescent="0.25">
      <c r="A20" s="454"/>
      <c r="B20" s="63"/>
      <c r="C20" s="394"/>
      <c r="D20" s="394"/>
      <c r="E20" s="76"/>
      <c r="F20" s="9">
        <f>(C20*$C$5)+(D20*$D$5)</f>
        <v>0</v>
      </c>
      <c r="G20" s="65"/>
      <c r="H20" s="66">
        <f t="shared" si="0"/>
        <v>0</v>
      </c>
      <c r="I20" s="67">
        <f t="shared" si="1"/>
        <v>0</v>
      </c>
      <c r="J20" s="75"/>
      <c r="K20" s="69">
        <f t="shared" si="4"/>
        <v>0</v>
      </c>
      <c r="L20" s="70">
        <f t="shared" si="2"/>
        <v>0</v>
      </c>
      <c r="M20" s="71">
        <f t="shared" si="5"/>
        <v>0</v>
      </c>
      <c r="N20" s="72">
        <f t="shared" si="3"/>
        <v>0</v>
      </c>
      <c r="O20" s="73"/>
      <c r="P20" s="11"/>
    </row>
    <row r="21" spans="1:16" ht="26.1" customHeight="1" x14ac:dyDescent="0.25">
      <c r="A21" s="454"/>
      <c r="B21" s="80"/>
      <c r="C21" s="394"/>
      <c r="D21" s="394"/>
      <c r="E21" s="76"/>
      <c r="F21" s="9">
        <f>(C21*$C$5)+(D21*$D$5)</f>
        <v>0</v>
      </c>
      <c r="G21" s="65"/>
      <c r="H21" s="66">
        <f t="shared" si="0"/>
        <v>0</v>
      </c>
      <c r="I21" s="67">
        <f t="shared" si="1"/>
        <v>0</v>
      </c>
      <c r="J21" s="75"/>
      <c r="K21" s="69">
        <f t="shared" si="4"/>
        <v>0</v>
      </c>
      <c r="L21" s="70">
        <f t="shared" si="2"/>
        <v>0</v>
      </c>
      <c r="M21" s="71">
        <f t="shared" si="5"/>
        <v>0</v>
      </c>
      <c r="N21" s="72">
        <f t="shared" si="3"/>
        <v>0</v>
      </c>
      <c r="O21" s="73"/>
      <c r="P21" s="11"/>
    </row>
    <row r="22" spans="1:16" ht="26.1" customHeight="1" x14ac:dyDescent="0.25">
      <c r="A22" s="454"/>
      <c r="B22" s="80"/>
      <c r="C22" s="394"/>
      <c r="D22" s="394"/>
      <c r="E22" s="76"/>
      <c r="F22" s="9">
        <f>(C22*$C$5)+(D22*$D$5)</f>
        <v>0</v>
      </c>
      <c r="G22" s="65"/>
      <c r="H22" s="66">
        <f t="shared" si="0"/>
        <v>0</v>
      </c>
      <c r="I22" s="67">
        <f t="shared" si="1"/>
        <v>0</v>
      </c>
      <c r="J22" s="75"/>
      <c r="K22" s="69">
        <f t="shared" si="4"/>
        <v>0</v>
      </c>
      <c r="L22" s="70">
        <f t="shared" si="2"/>
        <v>0</v>
      </c>
      <c r="M22" s="71">
        <f t="shared" si="5"/>
        <v>0</v>
      </c>
      <c r="N22" s="72">
        <f t="shared" si="3"/>
        <v>0</v>
      </c>
      <c r="O22" s="73"/>
      <c r="P22" s="11"/>
    </row>
    <row r="23" spans="1:16" ht="26.1" customHeight="1" x14ac:dyDescent="0.25">
      <c r="A23" s="454"/>
      <c r="B23" s="80"/>
      <c r="C23" s="395"/>
      <c r="D23" s="395"/>
      <c r="E23" s="76"/>
      <c r="F23" s="9">
        <f t="shared" si="6"/>
        <v>0</v>
      </c>
      <c r="G23" s="65"/>
      <c r="H23" s="66">
        <f t="shared" si="0"/>
        <v>0</v>
      </c>
      <c r="I23" s="67">
        <f t="shared" si="1"/>
        <v>0</v>
      </c>
      <c r="J23" s="75"/>
      <c r="K23" s="69">
        <f t="shared" si="4"/>
        <v>0</v>
      </c>
      <c r="L23" s="70">
        <f t="shared" si="2"/>
        <v>0</v>
      </c>
      <c r="M23" s="71"/>
      <c r="N23" s="72"/>
      <c r="O23" s="73"/>
      <c r="P23" s="11"/>
    </row>
    <row r="24" spans="1:16" ht="26.1" customHeight="1" x14ac:dyDescent="0.25">
      <c r="A24" s="454"/>
      <c r="B24" s="80"/>
      <c r="C24" s="395"/>
      <c r="D24" s="395"/>
      <c r="E24" s="76"/>
      <c r="F24" s="9">
        <f t="shared" si="6"/>
        <v>0</v>
      </c>
      <c r="G24" s="65"/>
      <c r="H24" s="66">
        <f t="shared" si="0"/>
        <v>0</v>
      </c>
      <c r="I24" s="67">
        <f t="shared" si="1"/>
        <v>0</v>
      </c>
      <c r="J24" s="75"/>
      <c r="K24" s="69">
        <f t="shared" si="4"/>
        <v>0</v>
      </c>
      <c r="L24" s="70">
        <f>G24</f>
        <v>0</v>
      </c>
      <c r="M24" s="71">
        <f t="shared" si="5"/>
        <v>0</v>
      </c>
      <c r="N24" s="72">
        <f t="shared" si="3"/>
        <v>0</v>
      </c>
      <c r="O24" s="73"/>
      <c r="P24" s="11"/>
    </row>
    <row r="25" spans="1:16" ht="21.75" customHeight="1" thickBot="1" x14ac:dyDescent="0.3">
      <c r="A25" s="455"/>
      <c r="B25" s="80"/>
      <c r="C25" s="395"/>
      <c r="D25" s="396"/>
      <c r="E25" s="76"/>
      <c r="F25" s="9">
        <f t="shared" si="6"/>
        <v>0</v>
      </c>
      <c r="G25" s="65"/>
      <c r="H25" s="66">
        <f t="shared" si="0"/>
        <v>0</v>
      </c>
      <c r="I25" s="67">
        <f t="shared" si="1"/>
        <v>0</v>
      </c>
      <c r="J25" s="81"/>
      <c r="K25" s="69">
        <f t="shared" si="4"/>
        <v>0</v>
      </c>
      <c r="L25" s="70">
        <f t="shared" si="2"/>
        <v>0</v>
      </c>
      <c r="M25" s="71">
        <f t="shared" si="5"/>
        <v>0</v>
      </c>
      <c r="N25" s="72">
        <f t="shared" si="3"/>
        <v>0</v>
      </c>
      <c r="O25" s="82"/>
      <c r="P25" s="11"/>
    </row>
    <row r="26" spans="1:16" ht="25.35" customHeight="1" thickTop="1" thickBot="1" x14ac:dyDescent="0.35">
      <c r="A26" s="456" t="s">
        <v>24</v>
      </c>
      <c r="B26" s="457"/>
      <c r="C26" s="83">
        <f>SUM(PRODUCT(SUM(C6:C25),$G$3),$G$3)</f>
        <v>48.01</v>
      </c>
      <c r="D26" s="84">
        <f>SUM(PRODUCT(SUM(D6:D25),$G$3),$H$3)</f>
        <v>47.01</v>
      </c>
      <c r="E26" s="85">
        <f>SUM(E5:E25)</f>
        <v>2390</v>
      </c>
      <c r="F26" s="86">
        <f>IFERROR(SUM(F5:F25),0)</f>
        <v>223080.2</v>
      </c>
      <c r="G26" s="86">
        <f>SUM(G5:G23)</f>
        <v>2390</v>
      </c>
      <c r="H26" s="87">
        <f t="shared" si="0"/>
        <v>220690.2</v>
      </c>
      <c r="I26" s="88">
        <f>IFERROR(H26/$E$58,0)</f>
        <v>92.33899581589958</v>
      </c>
      <c r="J26" s="89">
        <f>IFERROR(H26/F26,0)</f>
        <v>0.98928636427616612</v>
      </c>
      <c r="K26" s="90">
        <f>SUM(K5:K25)</f>
        <v>223080.2</v>
      </c>
      <c r="L26" s="91">
        <f>SUM(L5:L23)</f>
        <v>2390</v>
      </c>
      <c r="M26" s="92">
        <f>IFERROR(K26-L26,0)</f>
        <v>220690.2</v>
      </c>
      <c r="N26" s="93">
        <f>IFERROR(M26/K26,0)</f>
        <v>0.98928636427616612</v>
      </c>
      <c r="O26" s="94">
        <f>IFERROR(M26/K26,0)</f>
        <v>0.98928636427616612</v>
      </c>
      <c r="P26" s="12"/>
    </row>
    <row r="27" spans="1:16" ht="5.25" customHeight="1" x14ac:dyDescent="0.3">
      <c r="A27" s="95"/>
      <c r="B27" s="96"/>
      <c r="C27" s="96"/>
      <c r="D27" s="96"/>
      <c r="E27" s="97"/>
      <c r="F27" s="97"/>
      <c r="G27" s="98"/>
      <c r="H27" s="99"/>
      <c r="I27" s="100"/>
      <c r="J27" s="101"/>
      <c r="K27" s="102"/>
      <c r="L27" s="103"/>
      <c r="M27" s="104"/>
      <c r="N27" s="105"/>
      <c r="O27" s="106"/>
      <c r="P27" s="12"/>
    </row>
    <row r="28" spans="1:16" ht="67.349999999999994" customHeight="1" thickBot="1" x14ac:dyDescent="0.35">
      <c r="A28" s="458" t="s">
        <v>25</v>
      </c>
      <c r="B28" s="107" t="s">
        <v>18</v>
      </c>
      <c r="C28" s="107"/>
      <c r="D28" s="107"/>
      <c r="E28" s="108"/>
      <c r="F28" s="109">
        <f>VLOOKUP(B3,DataInfo2[[jobNo]:[Subcontract Cost]],12,0)</f>
        <v>0</v>
      </c>
      <c r="G28" s="109"/>
      <c r="H28" s="110">
        <f>IFERROR(F28-G28,0)</f>
        <v>0</v>
      </c>
      <c r="I28" s="111">
        <f>IFERROR(H28/$E$30,0)</f>
        <v>0</v>
      </c>
      <c r="J28" s="13" t="s">
        <v>19</v>
      </c>
      <c r="K28" s="112"/>
      <c r="L28" s="113"/>
      <c r="M28" s="114">
        <f>IFERROR(K28-L28,0)</f>
        <v>0</v>
      </c>
      <c r="N28" s="115">
        <f>IFERROR(M28/$E$3,0)</f>
        <v>0</v>
      </c>
      <c r="O28" s="14" t="s">
        <v>19</v>
      </c>
      <c r="P28" s="11"/>
    </row>
    <row r="29" spans="1:16" ht="2.25" customHeight="1" thickTop="1" thickBot="1" x14ac:dyDescent="0.35">
      <c r="A29" s="459"/>
      <c r="B29" s="116"/>
      <c r="C29" s="117"/>
      <c r="D29" s="117"/>
      <c r="E29" s="118"/>
      <c r="F29" s="119"/>
      <c r="G29" s="119"/>
      <c r="H29" s="120"/>
      <c r="I29" s="121"/>
      <c r="J29" s="13"/>
      <c r="K29" s="122"/>
      <c r="L29" s="123"/>
      <c r="M29" s="124"/>
      <c r="N29" s="125"/>
      <c r="O29" s="15"/>
      <c r="P29" s="11"/>
    </row>
    <row r="30" spans="1:16" ht="25.35" customHeight="1" thickTop="1" thickBot="1" x14ac:dyDescent="0.35">
      <c r="A30" s="460" t="s">
        <v>26</v>
      </c>
      <c r="B30" s="461"/>
      <c r="C30" s="290"/>
      <c r="D30" s="290"/>
      <c r="E30" s="126">
        <f>SUM(E28)</f>
        <v>0</v>
      </c>
      <c r="F30" s="127">
        <f>SUM(F28:F29)</f>
        <v>0</v>
      </c>
      <c r="G30" s="127">
        <f>SUM(G28:G29)</f>
        <v>0</v>
      </c>
      <c r="H30" s="128">
        <f>IFERROR(F30-G30,0)</f>
        <v>0</v>
      </c>
      <c r="I30" s="129">
        <f>IFERROR(H30/$E$58,0)</f>
        <v>0</v>
      </c>
      <c r="J30" s="130">
        <f>IFERROR(H30/F30,0)</f>
        <v>0</v>
      </c>
      <c r="K30" s="131">
        <f>SUM(K28:K29)</f>
        <v>0</v>
      </c>
      <c r="L30" s="132">
        <f>SUM(L28:L29)</f>
        <v>0</v>
      </c>
      <c r="M30" s="133">
        <f>IFERROR(K30-L30,0)</f>
        <v>0</v>
      </c>
      <c r="N30" s="134">
        <f>IFERROR(M30/$E$3,0)</f>
        <v>0</v>
      </c>
      <c r="O30" s="135">
        <f>IFERROR(M30/K30,0)</f>
        <v>0</v>
      </c>
      <c r="P30" s="11"/>
    </row>
    <row r="31" spans="1:16" ht="2.1" customHeight="1" x14ac:dyDescent="0.3">
      <c r="A31" s="95"/>
      <c r="B31" s="96"/>
      <c r="C31" s="96"/>
      <c r="D31" s="96"/>
      <c r="E31" s="97"/>
      <c r="F31" s="97"/>
      <c r="G31" s="98"/>
      <c r="H31" s="136"/>
      <c r="I31" s="137"/>
      <c r="J31" s="101"/>
      <c r="K31" s="102"/>
      <c r="L31" s="103"/>
      <c r="M31" s="104"/>
      <c r="N31" s="105"/>
      <c r="O31" s="106"/>
      <c r="P31" s="16"/>
    </row>
    <row r="32" spans="1:16" ht="24.75" customHeight="1" thickBot="1" x14ac:dyDescent="0.35">
      <c r="A32" s="439" t="s">
        <v>27</v>
      </c>
      <c r="B32" s="440"/>
      <c r="C32" s="291"/>
      <c r="D32" s="291"/>
      <c r="E32" s="138">
        <f>SUM(E30,E26)</f>
        <v>2390</v>
      </c>
      <c r="F32" s="139">
        <f>IFERROR(SUM(F30,F26),0)</f>
        <v>223080.2</v>
      </c>
      <c r="G32" s="139">
        <f>SUM(G26,G30)</f>
        <v>2390</v>
      </c>
      <c r="H32" s="140">
        <f>IFERROR(F32-G32,0)</f>
        <v>220690.2</v>
      </c>
      <c r="I32" s="141">
        <f>IFERROR(H32/$E$58,0)</f>
        <v>92.33899581589958</v>
      </c>
      <c r="J32" s="89">
        <f>IFERROR(H32/F32,0)</f>
        <v>0.98928636427616612</v>
      </c>
      <c r="K32" s="142">
        <f>SUM(K30,K26)</f>
        <v>223080.2</v>
      </c>
      <c r="L32" s="143">
        <f>SUM(L26,L30)</f>
        <v>2390</v>
      </c>
      <c r="M32" s="144">
        <f>IFERROR(K32-L32,0)</f>
        <v>220690.2</v>
      </c>
      <c r="N32" s="145">
        <f>IFERROR(M32/$E$3,0)</f>
        <v>0</v>
      </c>
      <c r="O32" s="94">
        <f>IFERROR(M32/K32,0)</f>
        <v>0.98928636427616612</v>
      </c>
      <c r="P32" s="11"/>
    </row>
    <row r="33" spans="1:16" ht="3" customHeight="1" thickBot="1" x14ac:dyDescent="0.35">
      <c r="A33" s="146"/>
      <c r="B33" s="147"/>
      <c r="C33" s="147"/>
      <c r="D33" s="147"/>
      <c r="E33" s="148"/>
      <c r="F33" s="148"/>
      <c r="G33" s="149"/>
      <c r="H33" s="150"/>
      <c r="I33" s="151"/>
      <c r="J33" s="101"/>
      <c r="K33" s="152"/>
      <c r="L33" s="153"/>
      <c r="M33" s="104"/>
      <c r="N33" s="154"/>
      <c r="O33" s="155"/>
      <c r="P33" s="12"/>
    </row>
    <row r="34" spans="1:16" ht="54" customHeight="1" thickBot="1" x14ac:dyDescent="0.3">
      <c r="A34" s="470" t="s">
        <v>28</v>
      </c>
      <c r="B34" s="472" t="s">
        <v>20</v>
      </c>
      <c r="C34" s="156"/>
      <c r="D34" s="156"/>
      <c r="E34" s="157" t="s">
        <v>19</v>
      </c>
      <c r="F34" s="158">
        <f>VLOOKUP(B3,DataInfo2[[jobNo]:[Material Cost]],11,0)</f>
        <v>480</v>
      </c>
      <c r="G34" s="158"/>
      <c r="H34" s="159">
        <f>IFERROR(F34-G34,0)</f>
        <v>480</v>
      </c>
      <c r="I34" s="160">
        <f>IFERROR(H34/$E$58,0)</f>
        <v>0.20083682008368201</v>
      </c>
      <c r="J34" s="161" t="s">
        <v>19</v>
      </c>
      <c r="K34" s="162">
        <f>F34</f>
        <v>480</v>
      </c>
      <c r="L34" s="163">
        <f>G34</f>
        <v>0</v>
      </c>
      <c r="M34" s="164">
        <f>IFERROR(K34-L34,0)</f>
        <v>480</v>
      </c>
      <c r="N34" s="165">
        <f>IFERROR(M34/$E$3,0)</f>
        <v>0</v>
      </c>
      <c r="O34" s="166" t="s">
        <v>19</v>
      </c>
      <c r="P34" s="11"/>
    </row>
    <row r="35" spans="1:16" ht="2.25" customHeight="1" thickBot="1" x14ac:dyDescent="0.35">
      <c r="A35" s="471"/>
      <c r="B35" s="473"/>
      <c r="C35" s="167"/>
      <c r="D35" s="167"/>
      <c r="E35" s="168"/>
      <c r="F35" s="168"/>
      <c r="G35" s="169"/>
      <c r="H35" s="170"/>
      <c r="I35" s="171"/>
      <c r="J35" s="17"/>
      <c r="K35" s="172"/>
      <c r="L35" s="173"/>
      <c r="M35" s="174"/>
      <c r="N35" s="175"/>
      <c r="O35" s="18"/>
      <c r="P35" s="19"/>
    </row>
    <row r="36" spans="1:16" ht="30" customHeight="1" thickTop="1" thickBot="1" x14ac:dyDescent="0.35">
      <c r="A36" s="474" t="s">
        <v>29</v>
      </c>
      <c r="B36" s="475"/>
      <c r="C36" s="288"/>
      <c r="D36" s="288"/>
      <c r="E36" s="176"/>
      <c r="F36" s="177">
        <f>IFERROR(SUM(F34:F35),0)</f>
        <v>480</v>
      </c>
      <c r="G36" s="177">
        <f>SUM(G34:G35)</f>
        <v>0</v>
      </c>
      <c r="H36" s="178">
        <f>IFERROR(F36-G36,0)</f>
        <v>480</v>
      </c>
      <c r="I36" s="179">
        <f>IFERROR(H36/$E$58,0)</f>
        <v>0.20083682008368201</v>
      </c>
      <c r="J36" s="180">
        <f>IFERROR(H36/F36,0)</f>
        <v>1</v>
      </c>
      <c r="K36" s="181">
        <f>SUM(K34:K35)</f>
        <v>480</v>
      </c>
      <c r="L36" s="182">
        <f>SUM(L34:L35)</f>
        <v>0</v>
      </c>
      <c r="M36" s="343">
        <f>IFERROR(K36-L36,0)</f>
        <v>480</v>
      </c>
      <c r="N36" s="178">
        <f>IFERROR(M36/$E$3,0)</f>
        <v>0</v>
      </c>
      <c r="O36" s="184">
        <f>IFERROR(M36/K36,0)</f>
        <v>1</v>
      </c>
      <c r="P36" s="12"/>
    </row>
    <row r="37" spans="1:16" ht="1.5" customHeight="1" thickTop="1" thickBot="1" x14ac:dyDescent="0.35">
      <c r="A37" s="146"/>
      <c r="B37" s="146"/>
      <c r="C37" s="147"/>
      <c r="D37" s="147"/>
      <c r="E37" s="148"/>
      <c r="F37" s="148"/>
      <c r="G37" s="149"/>
      <c r="H37" s="150"/>
      <c r="I37" s="185"/>
      <c r="J37" s="186"/>
      <c r="K37" s="187"/>
      <c r="L37" s="153"/>
      <c r="M37" s="345"/>
      <c r="N37" s="150"/>
      <c r="O37" s="155"/>
      <c r="P37" s="12"/>
    </row>
    <row r="38" spans="1:16" ht="31.5" customHeight="1" thickTop="1" x14ac:dyDescent="0.25">
      <c r="A38" s="476" t="s">
        <v>30</v>
      </c>
      <c r="B38" s="189" t="s">
        <v>31</v>
      </c>
      <c r="C38" s="189"/>
      <c r="D38" s="189"/>
      <c r="E38" s="190" t="s">
        <v>19</v>
      </c>
      <c r="F38" s="191">
        <f>VLOOKUP(B3,DataInfo2[[jobNo]:[Company Equipment]],10,0)</f>
        <v>0</v>
      </c>
      <c r="G38" s="191"/>
      <c r="H38" s="192">
        <f>IFERROR(F38-G38,0)</f>
        <v>0</v>
      </c>
      <c r="I38" s="193">
        <f>IFERROR(H38/$E$58,0)</f>
        <v>0</v>
      </c>
      <c r="J38" s="194"/>
      <c r="K38" s="195">
        <f>F38</f>
        <v>0</v>
      </c>
      <c r="L38" s="196">
        <f>G38</f>
        <v>0</v>
      </c>
      <c r="M38" s="346">
        <f>IFERROR(K38-L38,0)</f>
        <v>0</v>
      </c>
      <c r="N38" s="344">
        <f>IFERROR(M38/$E$3,0)</f>
        <v>0</v>
      </c>
      <c r="O38" s="197"/>
      <c r="P38" s="11"/>
    </row>
    <row r="39" spans="1:16" ht="33" customHeight="1" thickBot="1" x14ac:dyDescent="0.3">
      <c r="A39" s="477"/>
      <c r="B39" s="198" t="s">
        <v>32</v>
      </c>
      <c r="C39" s="198"/>
      <c r="D39" s="198"/>
      <c r="E39" s="199" t="s">
        <v>19</v>
      </c>
      <c r="F39" s="200">
        <f>VLOOKUP(B3,DataInfo2[[jobNo]:[3rd Party Cost]],7,0)</f>
        <v>50</v>
      </c>
      <c r="G39" s="200"/>
      <c r="H39" s="201">
        <f>IFERROR(F39-G39,0)</f>
        <v>50</v>
      </c>
      <c r="I39" s="202">
        <f>IFERROR(H39/$E$58,0)</f>
        <v>2.0920502092050208E-2</v>
      </c>
      <c r="J39" s="203"/>
      <c r="K39" s="360">
        <f>F39</f>
        <v>50</v>
      </c>
      <c r="L39" s="362">
        <f>G39</f>
        <v>0</v>
      </c>
      <c r="M39" s="204">
        <f>IFERROR(K39-L39,0)</f>
        <v>50</v>
      </c>
      <c r="N39" s="205">
        <f>IFERROR(M39/$E$3,0)</f>
        <v>0</v>
      </c>
      <c r="O39" s="206"/>
      <c r="P39" s="11"/>
    </row>
    <row r="40" spans="1:16" ht="30" customHeight="1" thickTop="1" thickBot="1" x14ac:dyDescent="0.35">
      <c r="A40" s="478" t="s">
        <v>33</v>
      </c>
      <c r="B40" s="479"/>
      <c r="C40" s="289"/>
      <c r="D40" s="289"/>
      <c r="E40" s="207" t="s">
        <v>19</v>
      </c>
      <c r="F40" s="208">
        <f>IFERROR(SUM(F38:F39),0)</f>
        <v>50</v>
      </c>
      <c r="G40" s="208"/>
      <c r="H40" s="209">
        <f>IFERROR(F40-G40,0)</f>
        <v>50</v>
      </c>
      <c r="I40" s="210">
        <f>IFERROR(H40/$E$58,0)</f>
        <v>2.0920502092050208E-2</v>
      </c>
      <c r="J40" s="211">
        <f>IFERROR(H40/F40,0)</f>
        <v>1</v>
      </c>
      <c r="K40" s="361">
        <f>SUM(K38:K39)</f>
        <v>50</v>
      </c>
      <c r="L40" s="363">
        <f>SUM(L38:L39)</f>
        <v>0</v>
      </c>
      <c r="M40" s="212">
        <f>IFERROR(K40-L40,0)</f>
        <v>50</v>
      </c>
      <c r="N40" s="209">
        <f>IFERROR(M40/$E$3,0)</f>
        <v>0</v>
      </c>
      <c r="O40" s="213">
        <f>IFERROR(M40/K40,0)</f>
        <v>1</v>
      </c>
      <c r="P40" s="11"/>
    </row>
    <row r="41" spans="1:16" ht="0.75" customHeight="1" thickBot="1" x14ac:dyDescent="0.35">
      <c r="A41" s="95"/>
      <c r="B41" s="96"/>
      <c r="C41" s="96"/>
      <c r="D41" s="96"/>
      <c r="E41" s="97"/>
      <c r="F41" s="98"/>
      <c r="G41" s="98"/>
      <c r="H41" s="99"/>
      <c r="I41" s="100"/>
      <c r="J41" s="101"/>
      <c r="K41" s="102"/>
      <c r="L41" s="103"/>
      <c r="M41" s="214"/>
      <c r="N41" s="100"/>
      <c r="O41" s="106"/>
      <c r="P41" s="16"/>
    </row>
    <row r="42" spans="1:16" ht="30.95" customHeight="1" x14ac:dyDescent="0.25">
      <c r="A42" s="480" t="s">
        <v>34</v>
      </c>
      <c r="B42" s="215" t="s">
        <v>35</v>
      </c>
      <c r="C42" s="216">
        <f>VLOOKUP(B3,DataInfo2[[jobNo]:[Scaffold-ADD]],6,0)</f>
        <v>1</v>
      </c>
      <c r="D42" s="216"/>
      <c r="E42" s="217" t="s">
        <v>19</v>
      </c>
      <c r="F42" s="218">
        <f>(C42*$C$5)+(D42*$D$5)</f>
        <v>1797</v>
      </c>
      <c r="G42" s="218"/>
      <c r="H42" s="219">
        <f>IFERROR(F42-G42,0)</f>
        <v>1797</v>
      </c>
      <c r="I42" s="220">
        <f>IFERROR(H42/$E$58,0)</f>
        <v>0.75188284518828452</v>
      </c>
      <c r="J42" s="221">
        <f>IFERROR(H42/F42,0)</f>
        <v>1</v>
      </c>
      <c r="K42" s="222">
        <f>F42</f>
        <v>1797</v>
      </c>
      <c r="L42" s="223">
        <f>G42</f>
        <v>0</v>
      </c>
      <c r="M42" s="224">
        <f>IFERROR(K42-L42,0)</f>
        <v>1797</v>
      </c>
      <c r="N42" s="225">
        <f>IFERROR(M42/$E$3,0)</f>
        <v>0</v>
      </c>
      <c r="O42" s="226">
        <f>IFERROR(M42/K42,0)</f>
        <v>1</v>
      </c>
      <c r="P42" s="16"/>
    </row>
    <row r="43" spans="1:16" ht="30.95" customHeight="1" thickBot="1" x14ac:dyDescent="0.3">
      <c r="A43" s="481"/>
      <c r="B43" s="227" t="s">
        <v>36</v>
      </c>
      <c r="C43" s="228"/>
      <c r="D43" s="228"/>
      <c r="E43" s="229" t="s">
        <v>19</v>
      </c>
      <c r="F43" s="230"/>
      <c r="G43" s="230"/>
      <c r="H43" s="231">
        <f>IFERROR(F43-G43,0)</f>
        <v>0</v>
      </c>
      <c r="I43" s="232">
        <f>IFERROR(H43/$E$58,0)</f>
        <v>0</v>
      </c>
      <c r="J43" s="233">
        <f>IFERROR(H43/F43,0)</f>
        <v>0</v>
      </c>
      <c r="K43" s="234">
        <f>F43</f>
        <v>0</v>
      </c>
      <c r="L43" s="235">
        <f>G43</f>
        <v>0</v>
      </c>
      <c r="M43" s="236">
        <f>IFERROR(K43-L43,0)</f>
        <v>0</v>
      </c>
      <c r="N43" s="237">
        <f>IFERROR(M43/$E$3,0)</f>
        <v>0</v>
      </c>
      <c r="O43" s="238">
        <f>IFERROR(M43/K43,0)</f>
        <v>0</v>
      </c>
      <c r="P43" s="16"/>
    </row>
    <row r="44" spans="1:16" ht="32.25" customHeight="1" thickTop="1" thickBot="1" x14ac:dyDescent="0.35">
      <c r="A44" s="464" t="s">
        <v>37</v>
      </c>
      <c r="B44" s="465"/>
      <c r="C44" s="286"/>
      <c r="D44" s="286"/>
      <c r="E44" s="239"/>
      <c r="F44" s="334">
        <f>IFERROR(SUM(F42:F43),0)</f>
        <v>1797</v>
      </c>
      <c r="G44" s="240">
        <f>SUM(G42:G43)</f>
        <v>0</v>
      </c>
      <c r="H44" s="241">
        <f>IFERROR(F44-G44,0)</f>
        <v>1797</v>
      </c>
      <c r="I44" s="242">
        <f>IFERROR(H44/$E$58,0)</f>
        <v>0.75188284518828452</v>
      </c>
      <c r="J44" s="243">
        <f>IFERROR(H44/F44,0)</f>
        <v>1</v>
      </c>
      <c r="K44" s="244">
        <f>SUM(K42:K43)</f>
        <v>1797</v>
      </c>
      <c r="L44" s="245">
        <f>SUM(L42:L43)</f>
        <v>0</v>
      </c>
      <c r="M44" s="246">
        <f>IFERROR(K44-L44,0)</f>
        <v>1797</v>
      </c>
      <c r="N44" s="241">
        <f>IFERROR(M44/$E$3,0)</f>
        <v>0</v>
      </c>
      <c r="O44" s="247">
        <f>IFERROR(M44/K44,0)</f>
        <v>1</v>
      </c>
      <c r="P44" s="11"/>
    </row>
    <row r="45" spans="1:16" ht="0.75" customHeight="1" thickTop="1" thickBot="1" x14ac:dyDescent="0.35">
      <c r="A45" s="332"/>
      <c r="B45" s="147"/>
      <c r="C45" s="147"/>
      <c r="D45" s="147"/>
      <c r="E45" s="148"/>
      <c r="F45" s="335"/>
      <c r="G45" s="149"/>
      <c r="H45" s="150"/>
      <c r="I45" s="185"/>
      <c r="J45" s="101"/>
      <c r="K45" s="187"/>
      <c r="L45" s="153"/>
      <c r="M45" s="188"/>
      <c r="N45" s="150"/>
      <c r="O45" s="155"/>
      <c r="P45" s="12"/>
    </row>
    <row r="46" spans="1:16" ht="31.5" customHeight="1" thickTop="1" x14ac:dyDescent="0.3">
      <c r="A46" s="466" t="s">
        <v>21</v>
      </c>
      <c r="B46" s="331" t="s">
        <v>38</v>
      </c>
      <c r="C46" s="347">
        <v>0</v>
      </c>
      <c r="D46" s="347">
        <f>IFERROR(SUMIFS(#REF!,#REF!,$A$2,#REF!,$B$3),0)</f>
        <v>0</v>
      </c>
      <c r="E46" s="333"/>
      <c r="F46" s="336">
        <f>VLOOKUP(B3,DataInfo2[[jobNo]:[Other Cost]],15,0)</f>
        <v>0</v>
      </c>
      <c r="G46" s="337"/>
      <c r="H46" s="338">
        <f>IFERROR(F46-G46,0)</f>
        <v>0</v>
      </c>
      <c r="I46" s="339">
        <f>IFERROR(H46/$E$26,0)</f>
        <v>0</v>
      </c>
      <c r="J46" s="340"/>
      <c r="K46" s="341">
        <f>F46</f>
        <v>0</v>
      </c>
      <c r="L46" s="342">
        <f>G46</f>
        <v>0</v>
      </c>
      <c r="M46" s="249">
        <f>IFERROR(K46-L46,0)</f>
        <v>0</v>
      </c>
      <c r="N46" s="250">
        <f>IFERROR(M46/$E$3,0)</f>
        <v>0</v>
      </c>
      <c r="O46" s="251"/>
      <c r="P46" s="19"/>
    </row>
    <row r="47" spans="1:16" ht="31.5" customHeight="1" thickBot="1" x14ac:dyDescent="0.35">
      <c r="A47" s="467"/>
      <c r="B47" s="252" t="s">
        <v>39</v>
      </c>
      <c r="C47" s="253"/>
      <c r="D47" s="253"/>
      <c r="E47" s="254" t="s">
        <v>19</v>
      </c>
      <c r="F47" s="248">
        <f>VLOOKUP(B3,DataInfo2[[jobNo]:[Other Revanue]],16,0)</f>
        <v>0</v>
      </c>
      <c r="G47" s="255"/>
      <c r="H47" s="256">
        <f>IFERROR(F47-G47,0)</f>
        <v>0</v>
      </c>
      <c r="I47" s="257">
        <f>IFERROR(H47/$E$26,0)</f>
        <v>0</v>
      </c>
      <c r="J47" s="258"/>
      <c r="K47" s="259">
        <f>F47</f>
        <v>0</v>
      </c>
      <c r="L47" s="260">
        <f>G47</f>
        <v>0</v>
      </c>
      <c r="M47" s="212">
        <f>IFERROR(K47-L47,0)</f>
        <v>0</v>
      </c>
      <c r="N47" s="209">
        <f>IFERROR(M47/$E$3,0)</f>
        <v>0</v>
      </c>
      <c r="O47" s="261"/>
      <c r="P47" s="12"/>
    </row>
    <row r="48" spans="1:16" ht="30" customHeight="1" thickTop="1" thickBot="1" x14ac:dyDescent="0.35">
      <c r="A48" s="468" t="s">
        <v>40</v>
      </c>
      <c r="B48" s="469"/>
      <c r="C48" s="287"/>
      <c r="D48" s="262"/>
      <c r="E48" s="300"/>
      <c r="F48" s="263">
        <f>IFERROR(SUM(F45:F47),0)</f>
        <v>0</v>
      </c>
      <c r="G48" s="263">
        <f>SUM(G45:G47)</f>
        <v>0</v>
      </c>
      <c r="H48" s="264">
        <f>IFERROR(F48-G48,0)</f>
        <v>0</v>
      </c>
      <c r="I48" s="301">
        <f>IFERROR(H48/$E$58,0)</f>
        <v>0</v>
      </c>
      <c r="J48" s="265">
        <f>IFERROR(H48/F48,0)</f>
        <v>0</v>
      </c>
      <c r="K48" s="266">
        <f>SUM(K45:K47)</f>
        <v>0</v>
      </c>
      <c r="L48" s="267">
        <f>SUM(L45:L47)</f>
        <v>0</v>
      </c>
      <c r="M48" s="183">
        <f>IFERROR(K48-L48,0)</f>
        <v>0</v>
      </c>
      <c r="N48" s="178">
        <f>IFERROR(M48/$E$3,0)</f>
        <v>0</v>
      </c>
      <c r="O48" s="268">
        <f>IFERROR(M48/K48,0)</f>
        <v>0</v>
      </c>
      <c r="P48" s="12"/>
    </row>
    <row r="49" spans="1:16" ht="60" customHeight="1" thickBot="1" x14ac:dyDescent="0.35">
      <c r="A49" s="433" t="s">
        <v>55</v>
      </c>
      <c r="B49" s="435" t="s">
        <v>55</v>
      </c>
      <c r="C49" s="437"/>
      <c r="D49" s="426"/>
      <c r="E49" s="426"/>
      <c r="F49" s="424">
        <f>VLOOKUP(B3,DataInfo2[[jobNo]:[Tools]],13,0)</f>
        <v>0</v>
      </c>
      <c r="G49" s="426"/>
      <c r="H49" s="428"/>
      <c r="I49" s="430"/>
      <c r="J49" s="348"/>
      <c r="K49" s="364"/>
      <c r="L49" s="377"/>
      <c r="M49" s="297"/>
      <c r="N49" s="383"/>
      <c r="O49" s="298"/>
      <c r="P49" s="299"/>
    </row>
    <row r="50" spans="1:16" ht="30" hidden="1" customHeight="1" thickBot="1" x14ac:dyDescent="0.35">
      <c r="A50" s="434"/>
      <c r="B50" s="436"/>
      <c r="C50" s="438"/>
      <c r="D50" s="427"/>
      <c r="E50" s="427"/>
      <c r="F50" s="425"/>
      <c r="G50" s="427"/>
      <c r="H50" s="429"/>
      <c r="I50" s="431"/>
      <c r="J50" s="296"/>
      <c r="K50" s="294"/>
      <c r="L50" s="294"/>
      <c r="M50" s="350"/>
      <c r="N50" s="295"/>
      <c r="O50" s="353"/>
      <c r="P50" s="299"/>
    </row>
    <row r="51" spans="1:16" ht="30" customHeight="1" thickTop="1" thickBot="1" x14ac:dyDescent="0.35">
      <c r="A51" s="432" t="s">
        <v>85</v>
      </c>
      <c r="B51" s="432"/>
      <c r="C51" s="302"/>
      <c r="D51" s="303"/>
      <c r="E51" s="304"/>
      <c r="F51" s="311">
        <f>SUM(F49)</f>
        <v>0</v>
      </c>
      <c r="G51" s="305"/>
      <c r="H51" s="305"/>
      <c r="I51" s="306"/>
      <c r="J51" s="349"/>
      <c r="K51" s="365"/>
      <c r="L51" s="378"/>
      <c r="M51" s="351"/>
      <c r="N51" s="384"/>
      <c r="O51" s="385"/>
      <c r="P51" s="299"/>
    </row>
    <row r="52" spans="1:16" ht="58.5" customHeight="1" thickBot="1" x14ac:dyDescent="0.35">
      <c r="A52" s="418" t="s">
        <v>86</v>
      </c>
      <c r="B52" s="420" t="s">
        <v>87</v>
      </c>
      <c r="C52" s="422"/>
      <c r="D52" s="413"/>
      <c r="E52" s="413"/>
      <c r="F52" s="411">
        <f>VLOOKUP(B3,DataInfo2[[jobNo]:[Scaffold]],9,0)</f>
        <v>30</v>
      </c>
      <c r="G52" s="413"/>
      <c r="H52" s="413"/>
      <c r="I52" s="415"/>
      <c r="J52" s="328"/>
      <c r="K52" s="366"/>
      <c r="L52" s="379"/>
      <c r="M52" s="297"/>
      <c r="N52" s="383"/>
      <c r="O52" s="386"/>
      <c r="P52" s="299"/>
    </row>
    <row r="53" spans="1:16" ht="30" hidden="1" customHeight="1" thickBot="1" x14ac:dyDescent="0.35">
      <c r="A53" s="419"/>
      <c r="B53" s="421"/>
      <c r="C53" s="423"/>
      <c r="D53" s="414"/>
      <c r="E53" s="414"/>
      <c r="F53" s="412"/>
      <c r="G53" s="414"/>
      <c r="H53" s="414"/>
      <c r="I53" s="416"/>
      <c r="J53" s="328"/>
      <c r="K53" s="329"/>
      <c r="L53" s="354"/>
      <c r="M53" s="350"/>
      <c r="N53" s="295"/>
      <c r="O53" s="353"/>
      <c r="P53" s="299"/>
    </row>
    <row r="54" spans="1:16" ht="30" customHeight="1" thickTop="1" thickBot="1" x14ac:dyDescent="0.35">
      <c r="A54" s="417" t="s">
        <v>88</v>
      </c>
      <c r="B54" s="417"/>
      <c r="C54" s="307"/>
      <c r="D54" s="308"/>
      <c r="E54" s="309"/>
      <c r="F54" s="326">
        <f>SUM(F52)</f>
        <v>30</v>
      </c>
      <c r="G54" s="308"/>
      <c r="H54" s="308"/>
      <c r="I54" s="310"/>
      <c r="J54" s="367"/>
      <c r="K54" s="380"/>
      <c r="L54" s="355"/>
      <c r="M54" s="387"/>
      <c r="N54" s="352"/>
      <c r="O54" s="385"/>
      <c r="P54" s="299"/>
    </row>
    <row r="55" spans="1:16" ht="60" customHeight="1" thickBot="1" x14ac:dyDescent="0.35">
      <c r="A55" s="405" t="s">
        <v>56</v>
      </c>
      <c r="B55" s="407" t="s">
        <v>56</v>
      </c>
      <c r="C55" s="409"/>
      <c r="D55" s="400"/>
      <c r="E55" s="400"/>
      <c r="F55" s="398">
        <f>VLOOKUP(B3,DataInfo2[[jobNo]:[Consumables]],14,0)</f>
        <v>0</v>
      </c>
      <c r="G55" s="400"/>
      <c r="H55" s="400"/>
      <c r="I55" s="402"/>
      <c r="J55" s="356"/>
      <c r="K55" s="368"/>
      <c r="L55" s="381"/>
      <c r="M55" s="358"/>
      <c r="N55" s="389"/>
      <c r="O55" s="388"/>
      <c r="P55" s="299"/>
    </row>
    <row r="56" spans="1:16" ht="0.75" customHeight="1" thickTop="1" thickBot="1" x14ac:dyDescent="0.35">
      <c r="A56" s="406"/>
      <c r="B56" s="408"/>
      <c r="C56" s="410"/>
      <c r="D56" s="401"/>
      <c r="E56" s="401"/>
      <c r="F56" s="399"/>
      <c r="G56" s="401"/>
      <c r="H56" s="401"/>
      <c r="I56" s="403"/>
      <c r="J56" s="330"/>
      <c r="K56" s="357"/>
      <c r="L56" s="357"/>
      <c r="M56" s="370"/>
      <c r="N56" s="371"/>
      <c r="O56" s="372"/>
      <c r="P56" s="299"/>
    </row>
    <row r="57" spans="1:16" ht="30" customHeight="1" thickTop="1" thickBot="1" x14ac:dyDescent="0.35">
      <c r="A57" s="404" t="s">
        <v>89</v>
      </c>
      <c r="B57" s="404"/>
      <c r="C57" s="312"/>
      <c r="D57" s="316"/>
      <c r="E57" s="313"/>
      <c r="F57" s="327">
        <f>SUM(F55)</f>
        <v>0</v>
      </c>
      <c r="G57" s="316"/>
      <c r="H57" s="313"/>
      <c r="I57" s="314"/>
      <c r="J57" s="369"/>
      <c r="K57" s="382"/>
      <c r="L57" s="359"/>
      <c r="M57" s="373"/>
      <c r="N57" s="390"/>
      <c r="O57" s="391"/>
      <c r="P57" s="12"/>
    </row>
    <row r="58" spans="1:16" ht="24" thickBot="1" x14ac:dyDescent="0.3">
      <c r="A58" s="269" t="str">
        <f>TRIM(A1)</f>
        <v/>
      </c>
      <c r="B58" s="270"/>
      <c r="C58" s="270"/>
      <c r="D58" s="315" t="s">
        <v>41</v>
      </c>
      <c r="E58" s="317">
        <f>SUM(E26,E30)</f>
        <v>2390</v>
      </c>
      <c r="F58" s="325">
        <f>SUM(F26,F30,F36,F40,F44,F48,F51,F54,F57)</f>
        <v>225437.2</v>
      </c>
      <c r="G58" s="323">
        <f>SUM(G26,G30,G36,G40,G44,G48)</f>
        <v>2390</v>
      </c>
      <c r="H58" s="322">
        <f>IFERROR(F58-G58,0)</f>
        <v>223047.2</v>
      </c>
      <c r="I58" s="321">
        <f>IFERROR(H58/$E$58,0)</f>
        <v>93.325188284518831</v>
      </c>
      <c r="J58" s="319">
        <f>IFERROR(IF(F58&lt;0.01,0,H58/F58),0)</f>
        <v>0.98939837790746155</v>
      </c>
      <c r="K58" s="318">
        <f>SUM(K26,K30,K36,K40,K44,K48)</f>
        <v>225407.2</v>
      </c>
      <c r="L58" s="271">
        <f>SUM(L26,L30,L36,L40,L44,L48)</f>
        <v>2390</v>
      </c>
      <c r="M58" s="374">
        <f>IFERROR(K58-L58,0)</f>
        <v>223017.2</v>
      </c>
      <c r="N58" s="375">
        <f>IFERROR(M58/$E$3,0)</f>
        <v>0</v>
      </c>
      <c r="O58" s="376">
        <f>IFERROR(M58/K58,0)</f>
        <v>0.98939696691143852</v>
      </c>
      <c r="P58" s="20"/>
    </row>
    <row r="59" spans="1:16" ht="12.75" customHeight="1" thickBot="1" x14ac:dyDescent="0.3">
      <c r="A59" s="272"/>
      <c r="B59" s="272"/>
      <c r="C59" s="272"/>
      <c r="D59" s="272"/>
      <c r="E59" s="273"/>
      <c r="F59" s="324"/>
      <c r="G59" s="324"/>
      <c r="H59" s="320"/>
      <c r="I59" s="320"/>
      <c r="J59" s="320"/>
      <c r="K59" s="274" t="e">
        <v>#REF!</v>
      </c>
      <c r="L59" s="275" t="e">
        <v>#REF!</v>
      </c>
      <c r="M59" s="276"/>
      <c r="N59" s="273"/>
      <c r="O59" s="277"/>
    </row>
    <row r="60" spans="1:16" x14ac:dyDescent="0.25">
      <c r="E60" s="278"/>
      <c r="F60" s="279">
        <f>IF(ABS(F58-F59)&gt; 1,F58-F59,"")</f>
        <v>225437.2</v>
      </c>
      <c r="G60" s="279">
        <f>IF(ABS(G58-G59)&gt; 1,G58-G59,"")</f>
        <v>2390</v>
      </c>
      <c r="K60" s="280" t="e">
        <f>IF(ABS(K58-K59)&gt; 1,K58-K59,"")</f>
        <v>#REF!</v>
      </c>
      <c r="L60" s="280" t="e">
        <f>IF(ABS(L58-L59)&gt; 1,L58-L59,"")</f>
        <v>#REF!</v>
      </c>
      <c r="M60" s="281"/>
      <c r="O60" s="282"/>
    </row>
    <row r="61" spans="1:16" ht="38.25" customHeight="1" x14ac:dyDescent="0.25">
      <c r="A61"/>
      <c r="B61"/>
      <c r="C61"/>
      <c r="D61"/>
      <c r="E61"/>
      <c r="F61"/>
      <c r="G61"/>
      <c r="H61"/>
      <c r="I61"/>
      <c r="J61"/>
      <c r="K61"/>
      <c r="L61"/>
      <c r="M61"/>
      <c r="N61"/>
      <c r="O61"/>
      <c r="P61"/>
    </row>
    <row r="62" spans="1:16" x14ac:dyDescent="0.25">
      <c r="A62"/>
      <c r="B62"/>
      <c r="C62"/>
      <c r="D62"/>
      <c r="E62"/>
      <c r="F62"/>
      <c r="G62"/>
      <c r="H62"/>
      <c r="I62"/>
      <c r="J62"/>
      <c r="K62"/>
      <c r="L62"/>
      <c r="M62"/>
      <c r="N62"/>
      <c r="O62"/>
      <c r="P62"/>
    </row>
    <row r="63" spans="1:16" x14ac:dyDescent="0.25">
      <c r="A63"/>
      <c r="B63"/>
      <c r="C63"/>
      <c r="D63"/>
      <c r="E63"/>
      <c r="F63"/>
      <c r="G63"/>
      <c r="H63"/>
      <c r="I63"/>
      <c r="J63"/>
      <c r="K63"/>
      <c r="L63"/>
      <c r="M63"/>
      <c r="N63"/>
      <c r="O63"/>
      <c r="P63"/>
    </row>
    <row r="64" spans="1:16" ht="20.25" customHeight="1" x14ac:dyDescent="0.25">
      <c r="A64"/>
      <c r="B64"/>
      <c r="C64"/>
      <c r="D64"/>
      <c r="E64"/>
      <c r="F64"/>
      <c r="G64"/>
      <c r="H64"/>
      <c r="I64"/>
      <c r="J64"/>
      <c r="K64"/>
      <c r="L64"/>
      <c r="M64"/>
      <c r="N64"/>
      <c r="O64"/>
      <c r="P64"/>
    </row>
    <row r="65" spans="1:16" ht="20.25" customHeight="1" x14ac:dyDescent="0.25">
      <c r="A65"/>
      <c r="B65"/>
      <c r="C65"/>
      <c r="D65"/>
      <c r="E65"/>
      <c r="F65"/>
      <c r="G65"/>
      <c r="H65"/>
      <c r="I65"/>
      <c r="J65"/>
      <c r="K65"/>
      <c r="L65"/>
      <c r="M65"/>
      <c r="N65"/>
      <c r="O65"/>
      <c r="P65"/>
    </row>
    <row r="66" spans="1:16" ht="20.25" customHeight="1" x14ac:dyDescent="0.25">
      <c r="A66"/>
      <c r="B66"/>
      <c r="C66"/>
      <c r="D66"/>
      <c r="E66"/>
      <c r="F66"/>
      <c r="G66"/>
      <c r="H66"/>
      <c r="I66"/>
      <c r="J66"/>
      <c r="K66"/>
      <c r="L66"/>
      <c r="M66"/>
      <c r="N66"/>
      <c r="O66"/>
      <c r="P66"/>
    </row>
    <row r="67" spans="1:16" ht="20.25" customHeight="1" x14ac:dyDescent="0.25">
      <c r="A67"/>
      <c r="B67"/>
      <c r="C67"/>
      <c r="D67"/>
      <c r="E67"/>
      <c r="F67"/>
      <c r="G67"/>
      <c r="H67"/>
      <c r="I67"/>
      <c r="J67"/>
      <c r="K67"/>
      <c r="L67"/>
      <c r="M67"/>
      <c r="N67"/>
      <c r="O67"/>
      <c r="P67"/>
    </row>
    <row r="68" spans="1:16" ht="20.25" customHeight="1" x14ac:dyDescent="0.25">
      <c r="A68"/>
      <c r="B68"/>
      <c r="C68"/>
      <c r="D68"/>
      <c r="E68"/>
      <c r="F68"/>
      <c r="G68"/>
      <c r="H68"/>
      <c r="I68"/>
      <c r="J68"/>
      <c r="K68"/>
      <c r="L68"/>
      <c r="M68"/>
      <c r="N68"/>
      <c r="O68"/>
      <c r="P68"/>
    </row>
    <row r="69" spans="1:16" ht="20.25" customHeight="1" x14ac:dyDescent="0.25">
      <c r="A69"/>
      <c r="B69"/>
      <c r="C69"/>
      <c r="D69"/>
      <c r="E69"/>
      <c r="F69"/>
      <c r="G69"/>
      <c r="H69"/>
      <c r="I69"/>
      <c r="J69"/>
      <c r="K69"/>
      <c r="L69"/>
      <c r="M69"/>
      <c r="N69"/>
      <c r="O69"/>
      <c r="P69"/>
    </row>
    <row r="70" spans="1:16" ht="20.25" customHeight="1" x14ac:dyDescent="0.25">
      <c r="A70"/>
      <c r="B70"/>
      <c r="C70"/>
      <c r="D70"/>
      <c r="E70"/>
      <c r="F70"/>
      <c r="G70"/>
      <c r="H70"/>
      <c r="I70"/>
      <c r="J70"/>
      <c r="K70"/>
      <c r="L70"/>
      <c r="M70"/>
      <c r="N70"/>
      <c r="O70"/>
      <c r="P70"/>
    </row>
    <row r="71" spans="1:16" ht="20.25" customHeight="1" x14ac:dyDescent="0.25">
      <c r="A71"/>
      <c r="B71"/>
      <c r="C71"/>
      <c r="D71"/>
      <c r="E71"/>
      <c r="F71"/>
      <c r="G71"/>
      <c r="H71"/>
      <c r="I71"/>
      <c r="J71"/>
      <c r="K71"/>
      <c r="L71"/>
      <c r="M71"/>
      <c r="N71"/>
      <c r="O71"/>
      <c r="P71"/>
    </row>
    <row r="72" spans="1:16" ht="20.25" customHeight="1" x14ac:dyDescent="0.25">
      <c r="A72"/>
      <c r="B72"/>
      <c r="C72"/>
      <c r="D72"/>
      <c r="E72"/>
      <c r="F72"/>
      <c r="G72"/>
      <c r="H72"/>
      <c r="I72"/>
      <c r="J72"/>
      <c r="K72"/>
      <c r="L72"/>
      <c r="M72"/>
      <c r="N72"/>
      <c r="O72"/>
      <c r="P72"/>
    </row>
    <row r="73" spans="1:16" ht="20.25" customHeight="1" x14ac:dyDescent="0.25">
      <c r="A73"/>
      <c r="B73"/>
      <c r="C73"/>
      <c r="D73"/>
      <c r="E73"/>
      <c r="F73"/>
      <c r="G73"/>
      <c r="H73"/>
      <c r="I73"/>
      <c r="J73"/>
      <c r="K73"/>
      <c r="L73"/>
      <c r="M73"/>
      <c r="N73"/>
      <c r="O73"/>
      <c r="P73"/>
    </row>
    <row r="74" spans="1:16" ht="20.25" customHeight="1" x14ac:dyDescent="0.25">
      <c r="A74"/>
      <c r="B74"/>
      <c r="C74"/>
      <c r="D74"/>
      <c r="E74"/>
      <c r="F74"/>
      <c r="G74"/>
      <c r="H74"/>
      <c r="I74"/>
      <c r="J74"/>
      <c r="K74"/>
      <c r="L74"/>
      <c r="M74"/>
      <c r="N74"/>
      <c r="O74"/>
      <c r="P74"/>
    </row>
    <row r="75" spans="1:16" ht="20.25" customHeight="1" x14ac:dyDescent="0.25">
      <c r="A75"/>
      <c r="B75"/>
      <c r="C75"/>
      <c r="D75"/>
      <c r="E75"/>
      <c r="F75"/>
      <c r="G75"/>
      <c r="H75"/>
      <c r="I75"/>
      <c r="J75"/>
      <c r="K75"/>
      <c r="L75"/>
      <c r="M75"/>
      <c r="N75"/>
      <c r="O75"/>
      <c r="P75"/>
    </row>
    <row r="76" spans="1:16" ht="20.25" customHeight="1" x14ac:dyDescent="0.25">
      <c r="A76"/>
      <c r="B76"/>
      <c r="C76"/>
      <c r="D76"/>
      <c r="E76"/>
      <c r="F76"/>
      <c r="G76"/>
      <c r="H76"/>
      <c r="I76"/>
      <c r="J76"/>
      <c r="K76"/>
      <c r="L76"/>
      <c r="M76"/>
      <c r="N76"/>
      <c r="O76"/>
      <c r="P76"/>
    </row>
    <row r="77" spans="1:16" ht="20.25" customHeight="1" x14ac:dyDescent="0.25">
      <c r="A77"/>
      <c r="B77"/>
      <c r="C77"/>
      <c r="D77"/>
      <c r="E77"/>
      <c r="F77"/>
      <c r="G77"/>
      <c r="H77"/>
      <c r="I77"/>
      <c r="J77"/>
      <c r="K77"/>
      <c r="L77"/>
      <c r="M77"/>
      <c r="N77"/>
      <c r="O77"/>
      <c r="P77"/>
    </row>
    <row r="78" spans="1:16" ht="20.25" customHeight="1" x14ac:dyDescent="0.25">
      <c r="A78"/>
      <c r="B78"/>
      <c r="C78"/>
      <c r="D78"/>
      <c r="E78"/>
      <c r="F78"/>
      <c r="G78"/>
      <c r="H78"/>
      <c r="I78"/>
      <c r="J78"/>
      <c r="K78"/>
      <c r="L78"/>
      <c r="M78"/>
      <c r="N78"/>
      <c r="O78"/>
      <c r="P78"/>
    </row>
    <row r="79" spans="1:16" ht="20.25" customHeight="1" x14ac:dyDescent="0.25">
      <c r="A79"/>
      <c r="B79"/>
      <c r="C79"/>
      <c r="D79"/>
      <c r="E79"/>
      <c r="F79"/>
      <c r="G79"/>
      <c r="H79"/>
      <c r="I79"/>
      <c r="J79"/>
      <c r="K79"/>
      <c r="L79"/>
      <c r="M79"/>
      <c r="N79"/>
      <c r="O79"/>
      <c r="P79"/>
    </row>
    <row r="80" spans="1:16" ht="20.25" customHeight="1" x14ac:dyDescent="0.25">
      <c r="A80"/>
      <c r="B80"/>
      <c r="C80"/>
      <c r="D80"/>
      <c r="E80"/>
      <c r="F80"/>
      <c r="G80"/>
      <c r="H80"/>
      <c r="I80"/>
      <c r="J80"/>
      <c r="K80"/>
      <c r="L80"/>
      <c r="M80"/>
      <c r="N80"/>
      <c r="O80"/>
      <c r="P80"/>
    </row>
    <row r="81" spans="1:16" ht="20.25" customHeight="1" x14ac:dyDescent="0.25">
      <c r="A81"/>
      <c r="B81"/>
      <c r="C81"/>
      <c r="D81"/>
      <c r="E81"/>
      <c r="F81"/>
      <c r="G81"/>
      <c r="H81"/>
      <c r="I81"/>
      <c r="J81"/>
      <c r="K81"/>
      <c r="L81"/>
      <c r="M81"/>
      <c r="N81"/>
      <c r="O81"/>
      <c r="P81"/>
    </row>
    <row r="82" spans="1:16" ht="20.25" customHeight="1" x14ac:dyDescent="0.25">
      <c r="A82"/>
      <c r="B82"/>
      <c r="C82"/>
      <c r="D82"/>
      <c r="E82"/>
      <c r="F82"/>
      <c r="G82"/>
      <c r="H82"/>
      <c r="I82"/>
      <c r="J82"/>
      <c r="K82"/>
      <c r="L82"/>
      <c r="M82"/>
      <c r="N82"/>
      <c r="O82"/>
      <c r="P82"/>
    </row>
    <row r="83" spans="1:16" ht="20.25" customHeight="1" x14ac:dyDescent="0.25">
      <c r="A83"/>
      <c r="B83"/>
      <c r="C83"/>
      <c r="D83"/>
      <c r="E83"/>
      <c r="F83"/>
      <c r="G83"/>
      <c r="H83"/>
      <c r="I83"/>
      <c r="J83"/>
      <c r="K83"/>
      <c r="L83"/>
      <c r="M83"/>
      <c r="N83"/>
      <c r="O83"/>
      <c r="P83"/>
    </row>
    <row r="84" spans="1:16" ht="20.25" customHeight="1" x14ac:dyDescent="0.25">
      <c r="A84"/>
      <c r="B84"/>
      <c r="C84"/>
      <c r="D84"/>
      <c r="E84"/>
      <c r="F84"/>
      <c r="G84"/>
      <c r="H84"/>
      <c r="I84"/>
      <c r="J84"/>
      <c r="K84"/>
      <c r="L84"/>
      <c r="M84"/>
      <c r="N84"/>
      <c r="O84"/>
      <c r="P84"/>
    </row>
    <row r="85" spans="1:16" ht="20.25" customHeight="1" x14ac:dyDescent="0.25">
      <c r="A85"/>
      <c r="B85"/>
      <c r="C85"/>
      <c r="D85"/>
      <c r="E85"/>
      <c r="F85"/>
      <c r="G85"/>
      <c r="H85"/>
      <c r="I85"/>
      <c r="J85"/>
      <c r="K85"/>
      <c r="L85"/>
      <c r="M85"/>
      <c r="N85"/>
      <c r="O85"/>
      <c r="P85"/>
    </row>
    <row r="86" spans="1:16" ht="20.25" customHeight="1" x14ac:dyDescent="0.25">
      <c r="A86"/>
      <c r="B86"/>
      <c r="C86"/>
      <c r="D86"/>
      <c r="E86"/>
      <c r="F86"/>
      <c r="G86"/>
      <c r="H86"/>
      <c r="I86"/>
      <c r="J86"/>
      <c r="K86"/>
      <c r="L86"/>
      <c r="M86"/>
      <c r="N86"/>
      <c r="O86"/>
      <c r="P86"/>
    </row>
    <row r="87" spans="1:16" ht="20.25" customHeight="1" x14ac:dyDescent="0.25">
      <c r="A87"/>
      <c r="B87"/>
      <c r="C87"/>
      <c r="D87"/>
      <c r="E87"/>
      <c r="F87"/>
      <c r="G87"/>
      <c r="H87"/>
      <c r="I87"/>
      <c r="J87"/>
      <c r="K87"/>
      <c r="L87"/>
      <c r="M87"/>
      <c r="N87"/>
      <c r="O87"/>
      <c r="P87"/>
    </row>
    <row r="88" spans="1:16" ht="20.25" customHeight="1" x14ac:dyDescent="0.25">
      <c r="A88"/>
      <c r="B88"/>
      <c r="C88"/>
      <c r="D88"/>
      <c r="E88"/>
      <c r="F88"/>
      <c r="G88"/>
      <c r="H88"/>
      <c r="I88"/>
      <c r="J88"/>
      <c r="K88"/>
      <c r="L88"/>
      <c r="M88"/>
      <c r="N88"/>
      <c r="O88"/>
      <c r="P88"/>
    </row>
    <row r="89" spans="1:16" ht="20.25" customHeight="1" x14ac:dyDescent="0.25">
      <c r="A89"/>
      <c r="B89"/>
      <c r="C89"/>
      <c r="D89"/>
      <c r="E89"/>
      <c r="F89"/>
      <c r="G89"/>
      <c r="H89"/>
      <c r="I89"/>
      <c r="J89"/>
      <c r="K89"/>
      <c r="L89"/>
      <c r="M89"/>
      <c r="N89"/>
      <c r="O89"/>
      <c r="P89"/>
    </row>
    <row r="90" spans="1:16" ht="20.25" customHeight="1" x14ac:dyDescent="0.25">
      <c r="A90"/>
      <c r="B90"/>
      <c r="C90"/>
      <c r="D90"/>
      <c r="E90"/>
      <c r="F90"/>
      <c r="G90"/>
      <c r="H90"/>
      <c r="I90"/>
      <c r="J90"/>
      <c r="K90"/>
      <c r="L90"/>
      <c r="M90"/>
      <c r="N90"/>
      <c r="O90"/>
      <c r="P90"/>
    </row>
    <row r="91" spans="1:16" ht="20.25" customHeight="1" x14ac:dyDescent="0.25">
      <c r="A91"/>
      <c r="B91"/>
      <c r="C91"/>
      <c r="D91"/>
      <c r="E91"/>
      <c r="F91"/>
      <c r="G91"/>
      <c r="H91"/>
      <c r="I91"/>
      <c r="J91"/>
      <c r="K91"/>
      <c r="L91"/>
      <c r="M91"/>
      <c r="N91"/>
      <c r="O91"/>
      <c r="P91"/>
    </row>
    <row r="92" spans="1:16" ht="20.25" customHeight="1" x14ac:dyDescent="0.25">
      <c r="A92"/>
      <c r="B92"/>
      <c r="C92"/>
      <c r="D92"/>
      <c r="E92"/>
      <c r="F92"/>
      <c r="G92"/>
      <c r="H92"/>
      <c r="I92"/>
      <c r="J92"/>
      <c r="K92"/>
      <c r="L92"/>
      <c r="M92"/>
      <c r="N92"/>
      <c r="O92"/>
      <c r="P92"/>
    </row>
    <row r="93" spans="1:16" ht="20.25" customHeight="1" x14ac:dyDescent="0.25">
      <c r="A93"/>
      <c r="B93"/>
      <c r="C93"/>
      <c r="D93"/>
      <c r="E93"/>
      <c r="F93"/>
      <c r="G93"/>
      <c r="H93"/>
      <c r="I93"/>
      <c r="J93"/>
      <c r="K93"/>
      <c r="L93"/>
      <c r="M93"/>
      <c r="N93"/>
      <c r="O93"/>
      <c r="P93"/>
    </row>
    <row r="94" spans="1:16" ht="20.25" customHeight="1" x14ac:dyDescent="0.25">
      <c r="A94"/>
      <c r="B94"/>
      <c r="C94"/>
      <c r="D94"/>
      <c r="E94"/>
      <c r="F94"/>
      <c r="G94"/>
      <c r="H94"/>
      <c r="I94"/>
      <c r="J94"/>
      <c r="K94"/>
      <c r="L94"/>
      <c r="M94"/>
      <c r="N94"/>
      <c r="O94"/>
      <c r="P94"/>
    </row>
    <row r="95" spans="1:16" ht="20.25" customHeight="1" x14ac:dyDescent="0.25">
      <c r="A95"/>
      <c r="B95"/>
      <c r="C95"/>
      <c r="D95"/>
      <c r="E95"/>
      <c r="F95"/>
      <c r="G95"/>
      <c r="H95"/>
      <c r="I95"/>
      <c r="J95"/>
      <c r="K95"/>
      <c r="L95"/>
      <c r="M95"/>
      <c r="N95"/>
      <c r="O95"/>
      <c r="P95"/>
    </row>
    <row r="96" spans="1:16" ht="20.25" customHeight="1" x14ac:dyDescent="0.25">
      <c r="A96"/>
      <c r="B96"/>
      <c r="C96"/>
      <c r="D96"/>
      <c r="E96"/>
      <c r="F96"/>
      <c r="G96"/>
      <c r="H96"/>
      <c r="I96"/>
      <c r="J96"/>
      <c r="K96"/>
      <c r="L96"/>
      <c r="M96"/>
      <c r="N96"/>
      <c r="O96"/>
      <c r="P96"/>
    </row>
    <row r="97" spans="1:16" ht="20.25" customHeight="1" x14ac:dyDescent="0.25">
      <c r="A97"/>
      <c r="B97"/>
      <c r="C97"/>
      <c r="D97"/>
      <c r="E97"/>
      <c r="F97"/>
      <c r="G97"/>
      <c r="H97"/>
      <c r="I97"/>
      <c r="J97"/>
      <c r="K97"/>
      <c r="L97"/>
      <c r="M97"/>
      <c r="N97"/>
      <c r="O97"/>
      <c r="P97"/>
    </row>
    <row r="98" spans="1:16" ht="20.25" customHeight="1" x14ac:dyDescent="0.25">
      <c r="A98"/>
      <c r="B98"/>
      <c r="C98"/>
      <c r="D98"/>
      <c r="E98"/>
      <c r="F98"/>
      <c r="G98"/>
      <c r="H98"/>
      <c r="I98"/>
      <c r="J98"/>
      <c r="K98"/>
      <c r="L98"/>
      <c r="M98"/>
      <c r="N98"/>
      <c r="O98"/>
      <c r="P98"/>
    </row>
    <row r="99" spans="1:16" ht="20.25" customHeight="1" x14ac:dyDescent="0.25">
      <c r="A99"/>
      <c r="B99"/>
      <c r="C99"/>
      <c r="D99"/>
      <c r="E99"/>
      <c r="F99"/>
      <c r="G99"/>
      <c r="H99"/>
      <c r="I99"/>
      <c r="J99"/>
      <c r="K99"/>
      <c r="L99"/>
      <c r="M99"/>
      <c r="N99"/>
      <c r="O99"/>
      <c r="P99"/>
    </row>
    <row r="100" spans="1:16" ht="20.25" customHeight="1" x14ac:dyDescent="0.25">
      <c r="A100"/>
      <c r="B100"/>
      <c r="C100"/>
      <c r="D100"/>
      <c r="E100"/>
      <c r="F100"/>
      <c r="G100"/>
      <c r="H100"/>
      <c r="I100"/>
      <c r="J100"/>
      <c r="K100"/>
      <c r="L100"/>
      <c r="M100"/>
      <c r="N100"/>
      <c r="O100"/>
      <c r="P100"/>
    </row>
    <row r="101" spans="1:16" ht="20.25" customHeight="1" x14ac:dyDescent="0.25">
      <c r="A101"/>
      <c r="B101"/>
      <c r="C101"/>
      <c r="D101"/>
      <c r="E101"/>
      <c r="F101"/>
      <c r="G101"/>
      <c r="H101"/>
      <c r="I101"/>
      <c r="J101"/>
      <c r="K101"/>
      <c r="L101"/>
      <c r="M101"/>
      <c r="N101"/>
      <c r="O101"/>
      <c r="P101"/>
    </row>
    <row r="102" spans="1:16" ht="20.25" customHeight="1" x14ac:dyDescent="0.25">
      <c r="A102"/>
      <c r="B102"/>
      <c r="C102"/>
      <c r="D102"/>
      <c r="E102"/>
      <c r="F102"/>
      <c r="G102"/>
      <c r="H102"/>
      <c r="I102"/>
      <c r="J102"/>
      <c r="K102"/>
      <c r="L102"/>
      <c r="M102"/>
      <c r="N102"/>
      <c r="O102"/>
      <c r="P102"/>
    </row>
    <row r="103" spans="1:16" ht="20.25" customHeight="1" x14ac:dyDescent="0.25">
      <c r="A103"/>
      <c r="B103"/>
      <c r="C103"/>
      <c r="D103"/>
      <c r="E103"/>
      <c r="F103"/>
      <c r="G103"/>
      <c r="H103"/>
      <c r="I103"/>
      <c r="J103"/>
      <c r="K103"/>
      <c r="L103"/>
      <c r="M103"/>
      <c r="N103"/>
      <c r="O103"/>
      <c r="P103"/>
    </row>
    <row r="104" spans="1:16" ht="20.25" customHeight="1" x14ac:dyDescent="0.25">
      <c r="A104"/>
      <c r="B104"/>
      <c r="C104"/>
      <c r="D104"/>
      <c r="E104"/>
      <c r="F104"/>
      <c r="G104"/>
      <c r="H104"/>
      <c r="I104"/>
      <c r="J104"/>
      <c r="K104"/>
      <c r="L104"/>
      <c r="M104"/>
      <c r="N104"/>
      <c r="O104"/>
      <c r="P104"/>
    </row>
    <row r="105" spans="1:16" ht="20.25" customHeight="1" x14ac:dyDescent="0.25">
      <c r="A105"/>
      <c r="B105"/>
      <c r="C105"/>
      <c r="D105"/>
      <c r="E105"/>
      <c r="F105"/>
      <c r="G105"/>
      <c r="H105"/>
      <c r="I105"/>
      <c r="J105"/>
      <c r="K105"/>
      <c r="L105"/>
      <c r="M105"/>
      <c r="N105"/>
      <c r="O105"/>
      <c r="P105"/>
    </row>
    <row r="106" spans="1:16" ht="20.25" customHeight="1" x14ac:dyDescent="0.25">
      <c r="A106"/>
      <c r="B106"/>
      <c r="C106"/>
      <c r="D106"/>
      <c r="E106"/>
      <c r="F106"/>
      <c r="G106"/>
      <c r="H106"/>
      <c r="I106"/>
      <c r="J106"/>
      <c r="K106"/>
      <c r="L106"/>
      <c r="M106"/>
      <c r="N106"/>
      <c r="O106"/>
      <c r="P106"/>
    </row>
    <row r="107" spans="1:16" ht="20.25" customHeight="1" x14ac:dyDescent="0.25">
      <c r="A107"/>
      <c r="B107"/>
      <c r="C107"/>
      <c r="D107"/>
      <c r="E107"/>
      <c r="F107"/>
      <c r="G107"/>
      <c r="H107"/>
      <c r="I107"/>
      <c r="J107"/>
      <c r="K107"/>
      <c r="L107"/>
      <c r="M107"/>
      <c r="N107"/>
      <c r="O107"/>
      <c r="P107"/>
    </row>
    <row r="108" spans="1:16" ht="20.25" customHeight="1" x14ac:dyDescent="0.25">
      <c r="A108"/>
      <c r="B108"/>
      <c r="C108"/>
      <c r="D108"/>
      <c r="E108"/>
      <c r="F108"/>
      <c r="G108"/>
      <c r="H108"/>
      <c r="I108"/>
      <c r="J108"/>
      <c r="K108"/>
      <c r="L108"/>
      <c r="M108"/>
      <c r="N108"/>
      <c r="O108"/>
      <c r="P108"/>
    </row>
    <row r="109" spans="1:16" ht="20.25" customHeight="1" x14ac:dyDescent="0.25">
      <c r="A109"/>
      <c r="B109"/>
      <c r="C109"/>
      <c r="D109"/>
      <c r="E109"/>
      <c r="F109"/>
      <c r="G109"/>
      <c r="H109"/>
      <c r="I109"/>
      <c r="J109"/>
      <c r="K109"/>
      <c r="L109"/>
      <c r="M109"/>
      <c r="N109"/>
      <c r="O109"/>
      <c r="P109"/>
    </row>
    <row r="110" spans="1:16" ht="20.25" customHeight="1" x14ac:dyDescent="0.25">
      <c r="A110"/>
      <c r="B110"/>
      <c r="C110"/>
      <c r="D110"/>
      <c r="E110"/>
      <c r="F110"/>
      <c r="G110"/>
      <c r="H110"/>
      <c r="I110"/>
      <c r="J110"/>
      <c r="K110"/>
      <c r="L110"/>
      <c r="M110"/>
      <c r="N110"/>
      <c r="O110"/>
      <c r="P110"/>
    </row>
    <row r="111" spans="1:16" ht="20.25" customHeight="1" x14ac:dyDescent="0.25">
      <c r="A111"/>
      <c r="B111"/>
      <c r="C111"/>
      <c r="D111"/>
      <c r="E111"/>
      <c r="F111"/>
      <c r="G111"/>
      <c r="H111"/>
      <c r="I111"/>
      <c r="J111"/>
      <c r="K111"/>
      <c r="L111"/>
      <c r="M111"/>
      <c r="N111"/>
      <c r="O111"/>
      <c r="P111"/>
    </row>
    <row r="112" spans="1:16" ht="20.25" customHeight="1" x14ac:dyDescent="0.25">
      <c r="A112"/>
      <c r="B112"/>
      <c r="C112"/>
      <c r="D112"/>
      <c r="E112"/>
      <c r="F112"/>
      <c r="G112"/>
      <c r="H112"/>
      <c r="I112"/>
      <c r="J112"/>
      <c r="K112"/>
      <c r="L112"/>
      <c r="M112"/>
      <c r="N112"/>
      <c r="O112"/>
      <c r="P112"/>
    </row>
    <row r="113" spans="1:16" ht="20.25" customHeight="1" x14ac:dyDescent="0.25">
      <c r="A113"/>
      <c r="B113"/>
      <c r="C113"/>
      <c r="D113"/>
      <c r="E113"/>
      <c r="F113"/>
      <c r="G113"/>
      <c r="H113"/>
      <c r="I113"/>
      <c r="J113"/>
      <c r="K113"/>
      <c r="L113"/>
      <c r="M113"/>
      <c r="N113"/>
      <c r="O113"/>
      <c r="P113"/>
    </row>
    <row r="114" spans="1:16" ht="20.25" customHeight="1" x14ac:dyDescent="0.25">
      <c r="A114"/>
      <c r="B114"/>
      <c r="C114"/>
      <c r="D114"/>
      <c r="E114"/>
      <c r="F114"/>
      <c r="G114"/>
      <c r="H114"/>
      <c r="I114"/>
      <c r="J114"/>
      <c r="K114"/>
      <c r="L114"/>
      <c r="M114"/>
      <c r="N114"/>
      <c r="O114"/>
      <c r="P114"/>
    </row>
    <row r="115" spans="1:16" ht="20.25" customHeight="1" x14ac:dyDescent="0.25">
      <c r="A115"/>
      <c r="B115"/>
      <c r="C115"/>
      <c r="D115"/>
      <c r="E115"/>
      <c r="F115"/>
      <c r="G115"/>
      <c r="H115"/>
      <c r="I115"/>
      <c r="J115"/>
      <c r="K115"/>
      <c r="L115"/>
      <c r="M115"/>
      <c r="N115"/>
      <c r="O115"/>
      <c r="P115"/>
    </row>
    <row r="116" spans="1:16" ht="20.25" customHeight="1" x14ac:dyDescent="0.25">
      <c r="A116"/>
      <c r="B116"/>
      <c r="C116"/>
      <c r="D116"/>
      <c r="E116"/>
      <c r="F116"/>
      <c r="G116"/>
      <c r="H116"/>
      <c r="I116"/>
      <c r="J116"/>
      <c r="K116"/>
      <c r="L116"/>
      <c r="M116"/>
      <c r="N116"/>
      <c r="O116"/>
      <c r="P116"/>
    </row>
    <row r="117" spans="1:16" ht="20.25" customHeight="1" x14ac:dyDescent="0.25">
      <c r="A117"/>
      <c r="B117"/>
      <c r="C117"/>
      <c r="D117"/>
      <c r="E117"/>
      <c r="F117"/>
      <c r="G117"/>
      <c r="H117"/>
      <c r="I117"/>
      <c r="J117"/>
      <c r="K117"/>
      <c r="L117"/>
      <c r="M117"/>
      <c r="N117"/>
      <c r="O117"/>
      <c r="P117"/>
    </row>
    <row r="118" spans="1:16" ht="20.25" customHeight="1" x14ac:dyDescent="0.25">
      <c r="A118"/>
      <c r="B118"/>
      <c r="C118"/>
      <c r="D118"/>
      <c r="E118"/>
      <c r="F118"/>
      <c r="G118"/>
      <c r="H118"/>
      <c r="I118"/>
      <c r="J118"/>
      <c r="K118"/>
      <c r="L118"/>
      <c r="M118"/>
      <c r="N118"/>
      <c r="O118"/>
      <c r="P118"/>
    </row>
    <row r="119" spans="1:16" ht="20.25" customHeight="1" x14ac:dyDescent="0.25">
      <c r="A119"/>
      <c r="B119"/>
      <c r="C119"/>
      <c r="D119"/>
      <c r="E119"/>
      <c r="F119"/>
      <c r="G119"/>
      <c r="H119"/>
      <c r="I119"/>
      <c r="J119"/>
      <c r="K119"/>
      <c r="L119"/>
      <c r="M119"/>
      <c r="N119"/>
      <c r="O119"/>
      <c r="P119"/>
    </row>
    <row r="120" spans="1:16" ht="20.25" customHeight="1" x14ac:dyDescent="0.25">
      <c r="A120"/>
      <c r="B120"/>
      <c r="C120"/>
      <c r="D120"/>
      <c r="E120"/>
      <c r="F120"/>
      <c r="G120"/>
      <c r="H120"/>
      <c r="I120"/>
      <c r="J120"/>
      <c r="K120"/>
      <c r="L120"/>
      <c r="M120"/>
      <c r="N120"/>
      <c r="O120"/>
      <c r="P120"/>
    </row>
    <row r="121" spans="1:16" ht="20.25" customHeight="1" x14ac:dyDescent="0.25">
      <c r="A121"/>
      <c r="B121"/>
      <c r="C121"/>
      <c r="D121"/>
      <c r="E121"/>
      <c r="F121"/>
      <c r="G121"/>
      <c r="H121"/>
      <c r="I121"/>
      <c r="J121"/>
      <c r="K121"/>
      <c r="L121"/>
      <c r="M121"/>
      <c r="N121"/>
      <c r="O121"/>
      <c r="P121"/>
    </row>
    <row r="122" spans="1:16" ht="20.25" customHeight="1" x14ac:dyDescent="0.25">
      <c r="A122"/>
      <c r="B122"/>
      <c r="C122"/>
      <c r="D122"/>
      <c r="E122"/>
      <c r="F122"/>
      <c r="G122"/>
      <c r="H122"/>
      <c r="I122"/>
      <c r="J122"/>
      <c r="K122"/>
      <c r="L122"/>
      <c r="M122"/>
      <c r="N122"/>
      <c r="O122"/>
      <c r="P122"/>
    </row>
    <row r="123" spans="1:16" ht="20.25" customHeight="1" x14ac:dyDescent="0.25">
      <c r="A123"/>
      <c r="B123"/>
      <c r="C123"/>
      <c r="D123"/>
      <c r="E123"/>
      <c r="F123"/>
      <c r="G123"/>
      <c r="H123"/>
      <c r="I123"/>
      <c r="J123"/>
      <c r="K123"/>
      <c r="L123"/>
      <c r="M123"/>
      <c r="N123"/>
      <c r="O123"/>
      <c r="P123"/>
    </row>
    <row r="124" spans="1:16" ht="20.25" customHeight="1" x14ac:dyDescent="0.25">
      <c r="A124"/>
      <c r="B124"/>
      <c r="C124"/>
      <c r="D124"/>
      <c r="E124"/>
      <c r="F124"/>
      <c r="G124"/>
      <c r="H124"/>
      <c r="I124"/>
      <c r="J124"/>
      <c r="K124"/>
      <c r="L124"/>
      <c r="M124"/>
      <c r="N124"/>
      <c r="O124"/>
      <c r="P124"/>
    </row>
    <row r="125" spans="1:16" ht="20.25" customHeight="1" x14ac:dyDescent="0.25">
      <c r="A125"/>
      <c r="B125"/>
      <c r="C125"/>
      <c r="D125"/>
      <c r="E125"/>
      <c r="F125"/>
      <c r="G125"/>
      <c r="H125"/>
      <c r="I125"/>
      <c r="J125"/>
      <c r="K125"/>
      <c r="L125"/>
      <c r="M125"/>
      <c r="N125"/>
      <c r="O125"/>
      <c r="P125"/>
    </row>
    <row r="126" spans="1:16" ht="20.25" customHeight="1" x14ac:dyDescent="0.25">
      <c r="A126"/>
      <c r="B126"/>
      <c r="C126"/>
      <c r="D126"/>
      <c r="E126"/>
      <c r="F126"/>
      <c r="G126"/>
      <c r="H126"/>
      <c r="I126"/>
      <c r="J126"/>
      <c r="K126"/>
      <c r="L126"/>
      <c r="M126"/>
      <c r="N126"/>
      <c r="O126"/>
      <c r="P126"/>
    </row>
    <row r="127" spans="1:16" ht="20.25" customHeight="1" x14ac:dyDescent="0.25">
      <c r="A127"/>
      <c r="B127"/>
      <c r="C127"/>
      <c r="D127"/>
      <c r="E127"/>
      <c r="F127"/>
      <c r="G127"/>
      <c r="H127"/>
      <c r="I127"/>
      <c r="J127"/>
      <c r="K127"/>
      <c r="L127"/>
      <c r="M127"/>
      <c r="N127"/>
      <c r="O127"/>
      <c r="P127"/>
    </row>
    <row r="128" spans="1:16" ht="20.25" customHeight="1" x14ac:dyDescent="0.25">
      <c r="A128"/>
      <c r="B128"/>
      <c r="C128"/>
      <c r="D128"/>
      <c r="E128"/>
      <c r="F128"/>
      <c r="G128"/>
      <c r="H128"/>
      <c r="I128"/>
      <c r="J128"/>
      <c r="K128"/>
      <c r="L128"/>
      <c r="M128"/>
      <c r="N128"/>
      <c r="O128"/>
      <c r="P128"/>
    </row>
    <row r="129" spans="1:16" ht="20.25" customHeight="1" x14ac:dyDescent="0.25">
      <c r="A129"/>
      <c r="B129"/>
      <c r="C129"/>
      <c r="D129"/>
      <c r="E129"/>
      <c r="F129"/>
      <c r="G129"/>
      <c r="H129"/>
      <c r="I129"/>
      <c r="J129"/>
      <c r="K129"/>
      <c r="L129"/>
      <c r="M129"/>
      <c r="N129"/>
      <c r="O129"/>
      <c r="P129"/>
    </row>
    <row r="130" spans="1:16" ht="20.25" customHeight="1" x14ac:dyDescent="0.25">
      <c r="A130"/>
      <c r="B130"/>
      <c r="C130"/>
      <c r="D130"/>
      <c r="E130"/>
      <c r="F130"/>
      <c r="G130"/>
      <c r="H130"/>
      <c r="I130"/>
      <c r="J130"/>
      <c r="K130"/>
      <c r="L130"/>
      <c r="M130"/>
      <c r="N130"/>
      <c r="O130"/>
      <c r="P130"/>
    </row>
    <row r="131" spans="1:16" ht="20.25" customHeight="1" x14ac:dyDescent="0.25">
      <c r="A131"/>
      <c r="B131"/>
      <c r="C131"/>
      <c r="D131"/>
      <c r="E131"/>
      <c r="F131"/>
      <c r="G131"/>
      <c r="H131"/>
      <c r="I131"/>
      <c r="J131"/>
      <c r="K131"/>
      <c r="L131"/>
      <c r="M131"/>
      <c r="N131"/>
      <c r="O131"/>
      <c r="P131"/>
    </row>
    <row r="132" spans="1:16" ht="20.25" customHeight="1" x14ac:dyDescent="0.25">
      <c r="A132"/>
      <c r="B132"/>
      <c r="C132"/>
      <c r="D132"/>
      <c r="E132"/>
      <c r="F132"/>
      <c r="G132"/>
      <c r="H132"/>
      <c r="I132"/>
      <c r="J132"/>
      <c r="K132"/>
      <c r="L132"/>
      <c r="M132"/>
      <c r="N132"/>
      <c r="O132"/>
      <c r="P132"/>
    </row>
    <row r="133" spans="1:16" ht="20.25" customHeight="1" x14ac:dyDescent="0.25">
      <c r="A133"/>
      <c r="B133"/>
      <c r="C133"/>
      <c r="D133"/>
      <c r="E133"/>
      <c r="F133"/>
      <c r="G133"/>
      <c r="H133"/>
      <c r="I133"/>
      <c r="J133"/>
      <c r="K133"/>
      <c r="L133"/>
      <c r="M133"/>
      <c r="N133"/>
      <c r="O133"/>
      <c r="P133"/>
    </row>
    <row r="134" spans="1:16" ht="20.25" customHeight="1" x14ac:dyDescent="0.25">
      <c r="A134"/>
      <c r="B134"/>
      <c r="C134"/>
      <c r="D134"/>
      <c r="E134"/>
      <c r="F134"/>
      <c r="G134"/>
      <c r="H134"/>
      <c r="I134"/>
      <c r="J134"/>
      <c r="K134"/>
      <c r="L134"/>
      <c r="M134"/>
      <c r="N134"/>
      <c r="O134"/>
      <c r="P134"/>
    </row>
    <row r="135" spans="1:16" ht="20.25" customHeight="1" x14ac:dyDescent="0.25">
      <c r="A135"/>
      <c r="B135"/>
      <c r="C135"/>
      <c r="D135"/>
      <c r="E135"/>
      <c r="F135"/>
      <c r="G135"/>
      <c r="H135"/>
      <c r="I135"/>
      <c r="J135"/>
      <c r="K135"/>
      <c r="L135"/>
      <c r="M135"/>
      <c r="N135"/>
      <c r="O135"/>
      <c r="P135"/>
    </row>
    <row r="136" spans="1:16" ht="20.25" customHeight="1" x14ac:dyDescent="0.25">
      <c r="A136"/>
      <c r="B136"/>
      <c r="C136"/>
      <c r="D136"/>
      <c r="E136"/>
      <c r="F136"/>
      <c r="G136"/>
      <c r="H136"/>
      <c r="I136"/>
      <c r="J136"/>
      <c r="K136"/>
      <c r="L136"/>
      <c r="M136"/>
      <c r="N136"/>
      <c r="O136"/>
      <c r="P136"/>
    </row>
    <row r="137" spans="1:16" ht="20.25" customHeight="1" x14ac:dyDescent="0.25">
      <c r="A137"/>
      <c r="B137"/>
      <c r="C137"/>
      <c r="D137"/>
      <c r="E137"/>
      <c r="F137"/>
      <c r="G137"/>
      <c r="H137"/>
      <c r="I137"/>
      <c r="J137"/>
      <c r="K137"/>
      <c r="L137"/>
      <c r="M137"/>
      <c r="N137"/>
      <c r="O137"/>
      <c r="P137"/>
    </row>
    <row r="138" spans="1:16" ht="20.25" customHeight="1" x14ac:dyDescent="0.25">
      <c r="A138"/>
      <c r="B138"/>
      <c r="C138"/>
      <c r="D138"/>
      <c r="E138"/>
      <c r="F138"/>
      <c r="G138"/>
      <c r="H138"/>
      <c r="I138"/>
      <c r="J138"/>
      <c r="K138"/>
      <c r="L138"/>
      <c r="M138"/>
      <c r="N138"/>
      <c r="O138"/>
      <c r="P138"/>
    </row>
    <row r="139" spans="1:16" ht="20.25" customHeight="1" x14ac:dyDescent="0.25">
      <c r="A139"/>
      <c r="B139"/>
      <c r="C139"/>
      <c r="D139"/>
      <c r="E139"/>
      <c r="F139"/>
      <c r="G139"/>
      <c r="H139"/>
      <c r="I139"/>
      <c r="J139"/>
      <c r="K139"/>
      <c r="L139"/>
      <c r="M139"/>
      <c r="N139"/>
      <c r="O139"/>
      <c r="P139"/>
    </row>
    <row r="140" spans="1:16" ht="20.25" customHeight="1" x14ac:dyDescent="0.25">
      <c r="A140"/>
      <c r="B140"/>
      <c r="C140"/>
      <c r="D140"/>
      <c r="E140"/>
      <c r="F140"/>
      <c r="G140"/>
      <c r="H140"/>
      <c r="I140"/>
      <c r="J140"/>
      <c r="K140"/>
      <c r="L140"/>
      <c r="M140"/>
      <c r="N140"/>
      <c r="O140"/>
      <c r="P140"/>
    </row>
    <row r="141" spans="1:16" ht="20.25" customHeight="1" x14ac:dyDescent="0.25">
      <c r="A141"/>
      <c r="B141"/>
      <c r="C141"/>
      <c r="D141"/>
      <c r="E141"/>
      <c r="F141"/>
      <c r="G141"/>
      <c r="H141"/>
      <c r="I141"/>
      <c r="J141"/>
      <c r="K141"/>
      <c r="L141"/>
      <c r="M141"/>
      <c r="N141"/>
      <c r="O141"/>
      <c r="P141"/>
    </row>
    <row r="142" spans="1:16" ht="20.25" customHeight="1" x14ac:dyDescent="0.25">
      <c r="A142"/>
      <c r="B142"/>
      <c r="C142"/>
      <c r="D142"/>
      <c r="E142"/>
      <c r="F142"/>
      <c r="G142"/>
      <c r="H142"/>
      <c r="I142"/>
      <c r="J142"/>
      <c r="K142"/>
      <c r="L142"/>
      <c r="M142"/>
      <c r="N142"/>
      <c r="O142"/>
      <c r="P142"/>
    </row>
    <row r="143" spans="1:16" ht="20.25" customHeight="1" x14ac:dyDescent="0.25">
      <c r="A143"/>
      <c r="B143"/>
      <c r="C143"/>
      <c r="D143"/>
      <c r="E143"/>
      <c r="F143"/>
      <c r="G143"/>
      <c r="H143"/>
      <c r="I143"/>
      <c r="J143"/>
      <c r="K143"/>
      <c r="L143"/>
      <c r="M143"/>
      <c r="N143"/>
      <c r="O143"/>
      <c r="P143"/>
    </row>
    <row r="144" spans="1:16" ht="20.25" customHeight="1" x14ac:dyDescent="0.25">
      <c r="A144"/>
      <c r="B144"/>
      <c r="C144"/>
      <c r="D144"/>
      <c r="E144"/>
      <c r="F144"/>
      <c r="G144"/>
      <c r="H144"/>
      <c r="I144"/>
      <c r="J144"/>
      <c r="K144"/>
      <c r="L144"/>
      <c r="M144"/>
      <c r="N144"/>
      <c r="O144"/>
      <c r="P144"/>
    </row>
    <row r="145" spans="1:16" ht="20.25" customHeight="1" x14ac:dyDescent="0.25">
      <c r="A145"/>
      <c r="B145"/>
      <c r="C145"/>
      <c r="D145"/>
      <c r="E145"/>
      <c r="F145"/>
      <c r="G145"/>
      <c r="H145"/>
      <c r="I145"/>
      <c r="J145"/>
      <c r="K145"/>
      <c r="L145"/>
      <c r="M145"/>
      <c r="N145"/>
      <c r="O145"/>
      <c r="P145"/>
    </row>
    <row r="146" spans="1:16" ht="20.25" customHeight="1" x14ac:dyDescent="0.25">
      <c r="A146"/>
      <c r="B146"/>
      <c r="C146"/>
      <c r="D146"/>
      <c r="E146"/>
      <c r="F146"/>
      <c r="G146"/>
      <c r="H146"/>
      <c r="I146"/>
      <c r="J146"/>
      <c r="K146"/>
      <c r="L146"/>
      <c r="M146"/>
      <c r="N146"/>
      <c r="O146"/>
      <c r="P146"/>
    </row>
    <row r="147" spans="1:16" ht="20.25" customHeight="1" x14ac:dyDescent="0.25">
      <c r="A147"/>
      <c r="B147"/>
      <c r="C147"/>
      <c r="D147"/>
      <c r="E147"/>
      <c r="F147"/>
      <c r="G147"/>
      <c r="H147"/>
      <c r="I147"/>
      <c r="J147"/>
      <c r="K147"/>
      <c r="L147"/>
      <c r="M147"/>
      <c r="N147"/>
      <c r="O147"/>
      <c r="P147"/>
    </row>
    <row r="148" spans="1:16" ht="20.25" customHeight="1" x14ac:dyDescent="0.25">
      <c r="A148"/>
      <c r="B148"/>
      <c r="C148"/>
      <c r="D148"/>
      <c r="E148"/>
      <c r="F148"/>
      <c r="G148"/>
      <c r="H148"/>
      <c r="I148"/>
      <c r="J148"/>
      <c r="K148"/>
      <c r="L148"/>
      <c r="M148"/>
      <c r="N148"/>
      <c r="O148"/>
      <c r="P148"/>
    </row>
    <row r="149" spans="1:16" ht="20.25" customHeight="1" x14ac:dyDescent="0.25">
      <c r="A149"/>
      <c r="B149"/>
      <c r="C149"/>
      <c r="D149"/>
      <c r="E149"/>
      <c r="F149"/>
      <c r="G149"/>
      <c r="H149"/>
      <c r="I149"/>
      <c r="J149"/>
      <c r="K149"/>
      <c r="L149"/>
      <c r="M149"/>
      <c r="N149"/>
      <c r="O149"/>
      <c r="P149"/>
    </row>
    <row r="150" spans="1:16" ht="20.25" customHeight="1" x14ac:dyDescent="0.25">
      <c r="A150"/>
      <c r="B150"/>
      <c r="C150"/>
      <c r="D150"/>
      <c r="E150"/>
      <c r="F150"/>
      <c r="G150"/>
      <c r="H150"/>
      <c r="I150"/>
      <c r="J150"/>
      <c r="K150"/>
      <c r="L150"/>
      <c r="M150"/>
      <c r="N150"/>
      <c r="O150"/>
      <c r="P150"/>
    </row>
    <row r="151" spans="1:16" ht="20.25" customHeight="1" x14ac:dyDescent="0.25">
      <c r="A151"/>
      <c r="B151"/>
      <c r="C151"/>
      <c r="D151"/>
      <c r="E151"/>
      <c r="F151"/>
      <c r="G151"/>
      <c r="H151"/>
      <c r="I151"/>
      <c r="J151"/>
      <c r="K151"/>
      <c r="L151"/>
      <c r="M151"/>
      <c r="N151"/>
      <c r="O151"/>
      <c r="P151"/>
    </row>
    <row r="152" spans="1:16" ht="20.25" customHeight="1" x14ac:dyDescent="0.25">
      <c r="A152"/>
      <c r="B152"/>
      <c r="C152"/>
      <c r="D152"/>
      <c r="E152"/>
      <c r="F152"/>
      <c r="G152"/>
      <c r="H152"/>
      <c r="I152"/>
      <c r="J152"/>
      <c r="K152"/>
      <c r="L152"/>
      <c r="M152"/>
      <c r="N152"/>
      <c r="O152"/>
      <c r="P152"/>
    </row>
    <row r="153" spans="1:16" ht="20.25" customHeight="1" x14ac:dyDescent="0.25">
      <c r="A153"/>
      <c r="B153"/>
      <c r="C153"/>
      <c r="D153"/>
      <c r="E153"/>
      <c r="F153"/>
      <c r="G153"/>
      <c r="H153"/>
      <c r="I153"/>
      <c r="J153"/>
      <c r="K153"/>
      <c r="L153"/>
      <c r="M153"/>
      <c r="N153"/>
      <c r="O153"/>
      <c r="P153"/>
    </row>
    <row r="154" spans="1:16" ht="20.25" customHeight="1" x14ac:dyDescent="0.25">
      <c r="A154"/>
      <c r="B154"/>
      <c r="C154"/>
      <c r="D154"/>
      <c r="E154"/>
      <c r="F154"/>
      <c r="G154"/>
      <c r="H154"/>
      <c r="I154"/>
      <c r="J154"/>
      <c r="K154"/>
      <c r="L154"/>
      <c r="M154"/>
      <c r="N154"/>
      <c r="O154"/>
      <c r="P154"/>
    </row>
    <row r="155" spans="1:16" ht="20.25" customHeight="1" x14ac:dyDescent="0.25">
      <c r="A155"/>
      <c r="B155"/>
      <c r="C155"/>
      <c r="D155"/>
      <c r="E155"/>
      <c r="F155"/>
      <c r="G155"/>
      <c r="H155"/>
      <c r="I155"/>
      <c r="J155"/>
      <c r="K155"/>
      <c r="L155"/>
      <c r="M155"/>
      <c r="N155"/>
      <c r="O155"/>
      <c r="P155"/>
    </row>
    <row r="156" spans="1:16" ht="20.25" customHeight="1" x14ac:dyDescent="0.25">
      <c r="A156"/>
      <c r="B156"/>
      <c r="C156"/>
      <c r="D156"/>
      <c r="E156"/>
      <c r="F156"/>
      <c r="G156"/>
      <c r="H156"/>
      <c r="I156"/>
      <c r="J156"/>
      <c r="K156"/>
      <c r="L156"/>
      <c r="M156"/>
      <c r="N156"/>
      <c r="O156"/>
      <c r="P156"/>
    </row>
    <row r="157" spans="1:16" ht="20.25" customHeight="1" x14ac:dyDescent="0.25">
      <c r="A157"/>
      <c r="B157"/>
      <c r="C157"/>
      <c r="D157"/>
      <c r="E157"/>
      <c r="F157"/>
      <c r="G157"/>
      <c r="H157"/>
      <c r="I157"/>
      <c r="J157"/>
      <c r="K157"/>
      <c r="L157"/>
      <c r="M157"/>
      <c r="N157"/>
      <c r="O157"/>
      <c r="P157"/>
    </row>
    <row r="158" spans="1:16" ht="20.25" customHeight="1" x14ac:dyDescent="0.25">
      <c r="A158"/>
      <c r="B158"/>
      <c r="C158"/>
      <c r="D158"/>
      <c r="E158"/>
      <c r="F158"/>
      <c r="G158"/>
      <c r="H158"/>
      <c r="I158"/>
      <c r="J158"/>
      <c r="K158"/>
      <c r="L158"/>
      <c r="M158"/>
      <c r="N158"/>
      <c r="O158"/>
      <c r="P158"/>
    </row>
    <row r="159" spans="1:16" ht="20.25" customHeight="1" x14ac:dyDescent="0.25">
      <c r="A159"/>
      <c r="B159"/>
      <c r="C159"/>
      <c r="D159"/>
      <c r="E159"/>
      <c r="F159"/>
      <c r="G159"/>
      <c r="H159"/>
      <c r="I159"/>
      <c r="J159"/>
      <c r="K159"/>
      <c r="L159"/>
      <c r="M159"/>
      <c r="N159"/>
      <c r="O159"/>
      <c r="P159"/>
    </row>
    <row r="160" spans="1:16" ht="20.25" customHeight="1" x14ac:dyDescent="0.25">
      <c r="A160"/>
      <c r="B160"/>
      <c r="C160"/>
      <c r="D160"/>
      <c r="E160"/>
      <c r="F160"/>
      <c r="G160"/>
      <c r="H160"/>
      <c r="I160"/>
      <c r="J160"/>
      <c r="K160"/>
      <c r="L160"/>
      <c r="M160"/>
      <c r="N160"/>
      <c r="O160"/>
      <c r="P160"/>
    </row>
    <row r="161" spans="1:16" ht="20.25" customHeight="1" x14ac:dyDescent="0.25">
      <c r="A161"/>
      <c r="B161"/>
      <c r="C161"/>
      <c r="D161"/>
      <c r="E161"/>
      <c r="F161"/>
      <c r="G161"/>
      <c r="H161"/>
      <c r="I161"/>
      <c r="J161"/>
      <c r="K161"/>
      <c r="L161"/>
      <c r="M161"/>
      <c r="N161"/>
      <c r="O161"/>
      <c r="P161"/>
    </row>
    <row r="162" spans="1:16" ht="20.25" customHeight="1" x14ac:dyDescent="0.25">
      <c r="A162"/>
      <c r="B162"/>
      <c r="C162"/>
      <c r="D162"/>
      <c r="E162"/>
      <c r="F162"/>
      <c r="G162"/>
      <c r="H162"/>
      <c r="I162"/>
      <c r="J162"/>
      <c r="K162"/>
      <c r="L162"/>
      <c r="M162"/>
      <c r="N162"/>
      <c r="O162"/>
      <c r="P162"/>
    </row>
    <row r="163" spans="1:16" ht="20.25" customHeight="1" x14ac:dyDescent="0.25">
      <c r="A163"/>
      <c r="B163"/>
      <c r="C163"/>
      <c r="D163"/>
      <c r="E163"/>
      <c r="F163"/>
      <c r="G163"/>
      <c r="H163"/>
      <c r="I163"/>
      <c r="J163"/>
      <c r="K163"/>
      <c r="L163"/>
      <c r="M163"/>
      <c r="N163"/>
      <c r="O163"/>
      <c r="P163"/>
    </row>
    <row r="164" spans="1:16" ht="20.25" customHeight="1" x14ac:dyDescent="0.25">
      <c r="A164"/>
      <c r="B164"/>
      <c r="C164"/>
      <c r="D164"/>
      <c r="E164"/>
      <c r="F164"/>
      <c r="G164"/>
      <c r="H164"/>
      <c r="I164"/>
      <c r="J164"/>
      <c r="K164"/>
      <c r="L164"/>
      <c r="M164"/>
      <c r="N164"/>
      <c r="O164"/>
      <c r="P164"/>
    </row>
    <row r="165" spans="1:16" ht="20.25" customHeight="1" x14ac:dyDescent="0.25">
      <c r="A165"/>
      <c r="B165"/>
      <c r="C165"/>
      <c r="D165"/>
      <c r="E165"/>
      <c r="F165"/>
      <c r="G165"/>
      <c r="H165"/>
      <c r="I165"/>
      <c r="J165"/>
      <c r="K165"/>
      <c r="L165"/>
      <c r="M165"/>
      <c r="N165"/>
      <c r="O165"/>
      <c r="P165"/>
    </row>
    <row r="166" spans="1:16" ht="20.25" customHeight="1" x14ac:dyDescent="0.25">
      <c r="A166"/>
      <c r="B166"/>
      <c r="C166"/>
      <c r="D166"/>
      <c r="E166"/>
      <c r="F166"/>
      <c r="G166"/>
      <c r="H166"/>
      <c r="I166"/>
      <c r="J166"/>
      <c r="K166"/>
      <c r="L166"/>
      <c r="M166"/>
      <c r="N166"/>
      <c r="O166"/>
      <c r="P166"/>
    </row>
    <row r="167" spans="1:16" ht="20.25" customHeight="1" x14ac:dyDescent="0.25">
      <c r="A167"/>
      <c r="B167"/>
      <c r="C167"/>
      <c r="D167"/>
      <c r="E167"/>
      <c r="F167"/>
      <c r="G167"/>
      <c r="H167"/>
      <c r="I167"/>
      <c r="J167"/>
      <c r="K167"/>
      <c r="L167"/>
      <c r="M167"/>
      <c r="N167"/>
      <c r="O167"/>
      <c r="P167"/>
    </row>
    <row r="168" spans="1:16" ht="20.25" customHeight="1" x14ac:dyDescent="0.25">
      <c r="A168"/>
      <c r="B168"/>
      <c r="C168"/>
      <c r="D168"/>
      <c r="E168"/>
      <c r="F168"/>
      <c r="G168"/>
      <c r="H168"/>
      <c r="I168"/>
      <c r="J168"/>
      <c r="K168"/>
      <c r="L168"/>
      <c r="M168"/>
      <c r="N168"/>
      <c r="O168"/>
      <c r="P168"/>
    </row>
    <row r="169" spans="1:16" ht="20.25" customHeight="1" x14ac:dyDescent="0.25">
      <c r="A169"/>
      <c r="B169"/>
      <c r="C169"/>
      <c r="D169"/>
      <c r="E169"/>
      <c r="F169"/>
      <c r="G169"/>
      <c r="H169"/>
      <c r="I169"/>
      <c r="J169"/>
      <c r="K169"/>
      <c r="L169"/>
      <c r="M169"/>
      <c r="N169"/>
      <c r="O169"/>
      <c r="P169"/>
    </row>
    <row r="170" spans="1:16" ht="20.25" customHeight="1" x14ac:dyDescent="0.25">
      <c r="A170"/>
      <c r="B170"/>
      <c r="C170"/>
      <c r="D170"/>
      <c r="E170"/>
      <c r="F170"/>
      <c r="G170"/>
      <c r="H170"/>
      <c r="I170"/>
      <c r="J170"/>
      <c r="K170"/>
      <c r="L170"/>
      <c r="M170"/>
      <c r="N170"/>
      <c r="O170"/>
      <c r="P170"/>
    </row>
    <row r="171" spans="1:16" ht="20.25" customHeight="1" x14ac:dyDescent="0.25">
      <c r="A171"/>
      <c r="B171"/>
      <c r="C171"/>
      <c r="D171"/>
      <c r="E171"/>
      <c r="F171"/>
      <c r="G171"/>
      <c r="H171"/>
      <c r="I171"/>
      <c r="J171"/>
      <c r="K171"/>
      <c r="L171"/>
      <c r="M171"/>
      <c r="N171"/>
      <c r="O171"/>
      <c r="P171"/>
    </row>
    <row r="172" spans="1:16" ht="20.25" customHeight="1" x14ac:dyDescent="0.25">
      <c r="A172"/>
      <c r="B172"/>
      <c r="C172"/>
      <c r="D172"/>
      <c r="E172"/>
      <c r="F172"/>
      <c r="G172"/>
      <c r="H172"/>
      <c r="I172"/>
      <c r="J172"/>
      <c r="K172"/>
      <c r="L172"/>
      <c r="M172"/>
      <c r="N172"/>
      <c r="O172"/>
      <c r="P172"/>
    </row>
    <row r="173" spans="1:16" ht="20.25" customHeight="1" x14ac:dyDescent="0.25">
      <c r="A173"/>
      <c r="B173"/>
      <c r="C173"/>
      <c r="D173"/>
      <c r="E173"/>
      <c r="F173"/>
      <c r="G173"/>
      <c r="H173"/>
      <c r="I173"/>
      <c r="J173"/>
      <c r="K173"/>
      <c r="L173"/>
      <c r="M173"/>
      <c r="N173"/>
      <c r="O173"/>
      <c r="P173"/>
    </row>
    <row r="174" spans="1:16" ht="20.25" customHeight="1" x14ac:dyDescent="0.25">
      <c r="A174"/>
      <c r="B174"/>
      <c r="C174"/>
      <c r="D174"/>
      <c r="E174"/>
      <c r="F174"/>
      <c r="G174"/>
      <c r="H174"/>
      <c r="I174"/>
      <c r="J174"/>
      <c r="K174"/>
      <c r="L174"/>
      <c r="M174"/>
      <c r="N174"/>
      <c r="O174"/>
      <c r="P174"/>
    </row>
    <row r="175" spans="1:16" ht="20.25" customHeight="1" x14ac:dyDescent="0.25">
      <c r="A175"/>
      <c r="B175"/>
      <c r="C175"/>
      <c r="D175"/>
      <c r="E175"/>
      <c r="F175"/>
      <c r="G175"/>
      <c r="H175"/>
      <c r="I175"/>
      <c r="J175"/>
      <c r="K175"/>
      <c r="L175"/>
      <c r="M175"/>
      <c r="N175"/>
      <c r="O175"/>
      <c r="P175"/>
    </row>
    <row r="176" spans="1:16" ht="20.25" customHeight="1" x14ac:dyDescent="0.25">
      <c r="A176"/>
      <c r="B176"/>
      <c r="C176"/>
      <c r="D176"/>
      <c r="E176"/>
      <c r="F176"/>
      <c r="G176"/>
      <c r="H176"/>
      <c r="I176"/>
      <c r="J176"/>
      <c r="K176"/>
      <c r="L176"/>
      <c r="M176"/>
      <c r="N176"/>
      <c r="O176"/>
      <c r="P176"/>
    </row>
    <row r="177" spans="1:16" ht="20.25" customHeight="1" x14ac:dyDescent="0.25">
      <c r="A177"/>
      <c r="B177"/>
      <c r="C177"/>
      <c r="D177"/>
      <c r="E177"/>
      <c r="F177"/>
      <c r="G177"/>
      <c r="H177"/>
      <c r="I177"/>
      <c r="J177"/>
      <c r="K177"/>
      <c r="L177"/>
      <c r="M177"/>
      <c r="N177"/>
      <c r="O177"/>
      <c r="P177"/>
    </row>
    <row r="178" spans="1:16" ht="20.25" customHeight="1" x14ac:dyDescent="0.25">
      <c r="A178"/>
      <c r="B178"/>
      <c r="C178"/>
      <c r="D178"/>
      <c r="E178"/>
      <c r="F178"/>
      <c r="G178"/>
      <c r="H178"/>
      <c r="I178"/>
      <c r="J178"/>
      <c r="K178"/>
      <c r="L178"/>
      <c r="M178"/>
      <c r="N178"/>
      <c r="O178"/>
      <c r="P178"/>
    </row>
    <row r="179" spans="1:16" ht="20.25" customHeight="1" x14ac:dyDescent="0.25">
      <c r="A179"/>
      <c r="B179"/>
      <c r="C179"/>
      <c r="D179"/>
      <c r="E179"/>
      <c r="F179"/>
      <c r="G179"/>
      <c r="H179"/>
      <c r="I179"/>
      <c r="J179"/>
      <c r="K179"/>
      <c r="L179"/>
      <c r="M179"/>
      <c r="N179"/>
      <c r="O179"/>
      <c r="P179"/>
    </row>
    <row r="180" spans="1:16" ht="20.25" customHeight="1" x14ac:dyDescent="0.25">
      <c r="A180"/>
      <c r="B180"/>
      <c r="C180"/>
      <c r="D180"/>
      <c r="E180"/>
      <c r="F180"/>
      <c r="G180"/>
      <c r="H180"/>
      <c r="I180"/>
      <c r="J180"/>
      <c r="K180"/>
      <c r="L180"/>
      <c r="M180"/>
      <c r="N180"/>
      <c r="O180"/>
      <c r="P180"/>
    </row>
    <row r="181" spans="1:16" ht="20.25" customHeight="1" x14ac:dyDescent="0.25">
      <c r="A181"/>
      <c r="B181"/>
      <c r="C181"/>
      <c r="D181"/>
      <c r="E181"/>
      <c r="F181"/>
      <c r="G181"/>
      <c r="H181"/>
      <c r="I181"/>
      <c r="J181"/>
      <c r="K181"/>
      <c r="L181"/>
      <c r="M181"/>
      <c r="N181"/>
      <c r="O181"/>
      <c r="P181"/>
    </row>
    <row r="182" spans="1:16" ht="20.25" customHeight="1" x14ac:dyDescent="0.25">
      <c r="A182"/>
      <c r="B182"/>
      <c r="C182"/>
      <c r="D182"/>
      <c r="E182"/>
      <c r="F182"/>
      <c r="G182"/>
      <c r="H182"/>
      <c r="I182"/>
      <c r="J182"/>
      <c r="K182"/>
      <c r="L182"/>
      <c r="M182"/>
      <c r="N182"/>
      <c r="O182"/>
      <c r="P182"/>
    </row>
    <row r="183" spans="1:16" ht="20.25" customHeight="1" x14ac:dyDescent="0.25">
      <c r="A183"/>
      <c r="B183"/>
      <c r="C183"/>
      <c r="D183"/>
      <c r="E183"/>
      <c r="F183"/>
      <c r="G183"/>
      <c r="H183"/>
      <c r="I183"/>
      <c r="J183"/>
      <c r="K183"/>
      <c r="L183"/>
      <c r="M183"/>
      <c r="N183"/>
      <c r="O183"/>
      <c r="P183"/>
    </row>
    <row r="184" spans="1:16" ht="20.25" customHeight="1" x14ac:dyDescent="0.25">
      <c r="A184"/>
      <c r="B184"/>
      <c r="C184"/>
      <c r="D184"/>
      <c r="E184"/>
      <c r="F184"/>
      <c r="G184"/>
      <c r="H184"/>
      <c r="I184"/>
      <c r="J184"/>
      <c r="K184"/>
      <c r="L184"/>
      <c r="M184"/>
      <c r="N184"/>
      <c r="O184"/>
      <c r="P184"/>
    </row>
    <row r="185" spans="1:16" ht="20.25" customHeight="1" x14ac:dyDescent="0.25">
      <c r="A185"/>
      <c r="B185"/>
      <c r="C185"/>
      <c r="D185"/>
      <c r="E185"/>
      <c r="F185"/>
      <c r="G185"/>
      <c r="H185"/>
      <c r="I185"/>
      <c r="J185"/>
      <c r="K185"/>
      <c r="L185"/>
      <c r="M185"/>
      <c r="N185"/>
      <c r="O185"/>
      <c r="P185"/>
    </row>
    <row r="186" spans="1:16" ht="20.25" customHeight="1" x14ac:dyDescent="0.25">
      <c r="A186"/>
      <c r="B186"/>
      <c r="C186"/>
      <c r="D186"/>
      <c r="E186"/>
      <c r="F186"/>
      <c r="G186"/>
      <c r="H186"/>
      <c r="I186"/>
      <c r="J186"/>
      <c r="K186"/>
      <c r="L186"/>
      <c r="M186"/>
      <c r="N186"/>
      <c r="O186"/>
      <c r="P186"/>
    </row>
    <row r="187" spans="1:16" ht="20.25" customHeight="1" x14ac:dyDescent="0.25">
      <c r="A187"/>
      <c r="B187"/>
      <c r="C187"/>
      <c r="D187"/>
      <c r="E187"/>
      <c r="F187"/>
      <c r="G187"/>
      <c r="H187"/>
      <c r="I187"/>
      <c r="J187"/>
      <c r="K187"/>
      <c r="L187"/>
      <c r="M187"/>
      <c r="N187"/>
      <c r="O187"/>
      <c r="P187"/>
    </row>
    <row r="188" spans="1:16" ht="20.25" customHeight="1" x14ac:dyDescent="0.25">
      <c r="A188"/>
      <c r="B188"/>
      <c r="C188"/>
      <c r="D188"/>
      <c r="E188"/>
      <c r="F188"/>
      <c r="G188"/>
      <c r="H188"/>
      <c r="I188"/>
      <c r="J188"/>
      <c r="K188"/>
      <c r="L188"/>
      <c r="M188"/>
      <c r="N188"/>
      <c r="O188"/>
      <c r="P188"/>
    </row>
    <row r="189" spans="1:16" ht="20.25" customHeight="1" x14ac:dyDescent="0.25">
      <c r="A189"/>
      <c r="B189"/>
      <c r="C189"/>
      <c r="D189"/>
      <c r="E189"/>
      <c r="F189"/>
      <c r="G189"/>
      <c r="H189"/>
      <c r="I189"/>
      <c r="J189"/>
      <c r="K189"/>
      <c r="L189"/>
      <c r="M189"/>
      <c r="N189"/>
      <c r="O189"/>
      <c r="P189"/>
    </row>
    <row r="190" spans="1:16" ht="20.25" customHeight="1" x14ac:dyDescent="0.25">
      <c r="A190"/>
      <c r="B190"/>
      <c r="C190"/>
      <c r="D190"/>
      <c r="E190"/>
      <c r="F190"/>
      <c r="G190"/>
      <c r="H190"/>
      <c r="I190"/>
      <c r="J190"/>
      <c r="K190"/>
      <c r="L190"/>
      <c r="M190"/>
      <c r="N190"/>
      <c r="O190"/>
      <c r="P190"/>
    </row>
    <row r="191" spans="1:16" ht="20.25" customHeight="1" x14ac:dyDescent="0.25">
      <c r="A191"/>
      <c r="B191"/>
      <c r="C191"/>
      <c r="D191"/>
      <c r="E191"/>
      <c r="F191"/>
      <c r="G191"/>
      <c r="H191"/>
      <c r="I191"/>
      <c r="J191"/>
      <c r="K191"/>
      <c r="L191"/>
      <c r="M191"/>
      <c r="N191"/>
      <c r="O191"/>
      <c r="P191"/>
    </row>
    <row r="192" spans="1:16" ht="20.25" customHeight="1" x14ac:dyDescent="0.25">
      <c r="A192"/>
      <c r="B192"/>
      <c r="C192"/>
      <c r="D192"/>
      <c r="E192"/>
      <c r="F192"/>
      <c r="G192"/>
      <c r="H192"/>
      <c r="I192"/>
      <c r="J192"/>
      <c r="K192"/>
      <c r="L192"/>
      <c r="M192"/>
      <c r="N192"/>
      <c r="O192"/>
      <c r="P192"/>
    </row>
    <row r="193" spans="1:16" ht="20.25" customHeight="1" x14ac:dyDescent="0.25">
      <c r="A193"/>
      <c r="B193"/>
      <c r="C193"/>
      <c r="D193"/>
      <c r="E193"/>
      <c r="F193"/>
      <c r="G193"/>
      <c r="H193"/>
      <c r="I193"/>
      <c r="J193"/>
      <c r="K193"/>
      <c r="L193"/>
      <c r="M193"/>
      <c r="N193"/>
      <c r="O193"/>
      <c r="P193"/>
    </row>
    <row r="194" spans="1:16" ht="20.25" customHeight="1" x14ac:dyDescent="0.25">
      <c r="A194"/>
      <c r="B194"/>
      <c r="C194"/>
      <c r="D194"/>
      <c r="E194"/>
      <c r="F194"/>
      <c r="G194"/>
      <c r="H194"/>
      <c r="I194"/>
      <c r="J194"/>
      <c r="K194"/>
      <c r="L194"/>
      <c r="M194"/>
      <c r="N194"/>
      <c r="O194"/>
      <c r="P194"/>
    </row>
    <row r="195" spans="1:16" ht="20.25" customHeight="1" x14ac:dyDescent="0.25">
      <c r="A195"/>
      <c r="B195"/>
      <c r="C195"/>
      <c r="D195"/>
      <c r="E195"/>
      <c r="F195"/>
      <c r="G195"/>
      <c r="H195"/>
      <c r="I195"/>
      <c r="J195"/>
      <c r="K195"/>
      <c r="L195"/>
      <c r="M195"/>
      <c r="N195"/>
      <c r="O195"/>
      <c r="P195"/>
    </row>
    <row r="196" spans="1:16" ht="20.25" customHeight="1" x14ac:dyDescent="0.25">
      <c r="A196"/>
      <c r="B196"/>
      <c r="C196"/>
      <c r="D196"/>
      <c r="E196"/>
      <c r="F196"/>
      <c r="G196"/>
      <c r="H196"/>
      <c r="I196"/>
      <c r="J196"/>
      <c r="K196"/>
      <c r="L196"/>
      <c r="M196"/>
      <c r="N196"/>
      <c r="O196"/>
      <c r="P196"/>
    </row>
    <row r="197" spans="1:16" ht="20.25" customHeight="1" x14ac:dyDescent="0.25">
      <c r="A197"/>
      <c r="B197"/>
      <c r="C197"/>
      <c r="D197"/>
      <c r="E197"/>
      <c r="F197"/>
      <c r="G197"/>
      <c r="H197"/>
      <c r="I197"/>
      <c r="J197"/>
      <c r="K197"/>
      <c r="L197"/>
      <c r="M197"/>
      <c r="N197"/>
      <c r="O197"/>
      <c r="P197"/>
    </row>
    <row r="198" spans="1:16" ht="20.25" customHeight="1" x14ac:dyDescent="0.25">
      <c r="A198"/>
      <c r="B198"/>
      <c r="C198"/>
      <c r="D198"/>
      <c r="E198"/>
      <c r="F198"/>
      <c r="G198"/>
      <c r="H198"/>
      <c r="I198"/>
      <c r="J198"/>
      <c r="K198"/>
      <c r="L198"/>
      <c r="M198"/>
      <c r="N198"/>
      <c r="O198"/>
      <c r="P198"/>
    </row>
    <row r="199" spans="1:16" ht="20.25" customHeight="1" x14ac:dyDescent="0.25">
      <c r="A199"/>
      <c r="B199"/>
      <c r="C199"/>
      <c r="D199"/>
      <c r="E199"/>
      <c r="F199"/>
      <c r="G199"/>
      <c r="H199"/>
      <c r="I199"/>
      <c r="J199"/>
      <c r="K199"/>
      <c r="L199"/>
      <c r="M199"/>
      <c r="N199"/>
      <c r="O199"/>
      <c r="P199"/>
    </row>
    <row r="200" spans="1:16" ht="20.25" customHeight="1" x14ac:dyDescent="0.25">
      <c r="A200"/>
      <c r="B200"/>
      <c r="C200"/>
      <c r="D200"/>
      <c r="E200"/>
      <c r="F200"/>
      <c r="G200"/>
      <c r="H200"/>
      <c r="I200"/>
      <c r="J200"/>
      <c r="K200"/>
      <c r="L200"/>
      <c r="M200"/>
      <c r="N200"/>
      <c r="O200"/>
      <c r="P200"/>
    </row>
    <row r="201" spans="1:16" ht="20.25" customHeight="1" x14ac:dyDescent="0.25">
      <c r="A201"/>
      <c r="B201"/>
      <c r="C201"/>
      <c r="D201"/>
      <c r="E201"/>
      <c r="F201"/>
      <c r="G201"/>
      <c r="H201"/>
      <c r="I201"/>
      <c r="J201"/>
      <c r="K201"/>
      <c r="L201"/>
      <c r="M201"/>
      <c r="N201"/>
      <c r="O201"/>
      <c r="P201"/>
    </row>
    <row r="202" spans="1:16" ht="20.25" customHeight="1" x14ac:dyDescent="0.25">
      <c r="A202"/>
      <c r="B202"/>
      <c r="C202"/>
      <c r="D202"/>
      <c r="E202"/>
      <c r="F202"/>
      <c r="G202"/>
      <c r="H202"/>
      <c r="I202"/>
      <c r="J202"/>
      <c r="K202"/>
      <c r="L202"/>
      <c r="M202"/>
      <c r="N202"/>
      <c r="O202"/>
      <c r="P202"/>
    </row>
    <row r="203" spans="1:16" ht="20.25" customHeight="1" x14ac:dyDescent="0.25">
      <c r="A203"/>
      <c r="B203"/>
      <c r="C203"/>
      <c r="D203"/>
      <c r="E203"/>
      <c r="F203"/>
      <c r="G203"/>
      <c r="H203"/>
      <c r="I203"/>
      <c r="J203"/>
      <c r="K203"/>
      <c r="L203"/>
      <c r="M203"/>
      <c r="N203"/>
      <c r="O203"/>
      <c r="P203"/>
    </row>
    <row r="204" spans="1:16" ht="20.25" customHeight="1" x14ac:dyDescent="0.25">
      <c r="A204"/>
      <c r="B204"/>
      <c r="C204"/>
      <c r="D204"/>
      <c r="E204"/>
      <c r="F204"/>
      <c r="G204"/>
      <c r="H204"/>
      <c r="I204"/>
      <c r="J204"/>
      <c r="K204"/>
      <c r="L204"/>
      <c r="M204"/>
      <c r="N204"/>
      <c r="O204"/>
      <c r="P204"/>
    </row>
    <row r="205" spans="1:16" ht="20.25" customHeight="1" x14ac:dyDescent="0.25">
      <c r="A205"/>
      <c r="B205"/>
      <c r="C205"/>
      <c r="D205"/>
      <c r="E205"/>
      <c r="F205"/>
      <c r="G205"/>
      <c r="H205"/>
      <c r="I205"/>
      <c r="J205"/>
      <c r="K205"/>
      <c r="L205"/>
      <c r="M205"/>
      <c r="N205"/>
      <c r="O205"/>
      <c r="P205"/>
    </row>
    <row r="206" spans="1:16" ht="20.25" customHeight="1" x14ac:dyDescent="0.25">
      <c r="A206"/>
      <c r="B206"/>
      <c r="C206"/>
      <c r="D206"/>
      <c r="E206"/>
      <c r="F206"/>
      <c r="G206"/>
      <c r="H206"/>
      <c r="I206"/>
      <c r="J206"/>
      <c r="K206"/>
      <c r="L206"/>
      <c r="M206"/>
      <c r="N206"/>
      <c r="O206"/>
      <c r="P206"/>
    </row>
    <row r="207" spans="1:16" ht="20.25" customHeight="1" x14ac:dyDescent="0.25">
      <c r="A207"/>
      <c r="B207"/>
      <c r="C207"/>
      <c r="D207"/>
      <c r="E207"/>
      <c r="F207"/>
      <c r="G207"/>
      <c r="H207"/>
      <c r="I207"/>
      <c r="J207"/>
      <c r="K207"/>
      <c r="L207"/>
      <c r="M207"/>
      <c r="N207"/>
      <c r="O207"/>
      <c r="P207"/>
    </row>
    <row r="208" spans="1:16" ht="20.25" customHeight="1" x14ac:dyDescent="0.25">
      <c r="A208"/>
      <c r="B208"/>
      <c r="C208"/>
      <c r="D208"/>
      <c r="E208"/>
      <c r="F208"/>
      <c r="G208"/>
      <c r="H208"/>
      <c r="I208"/>
      <c r="J208"/>
      <c r="K208"/>
      <c r="L208"/>
      <c r="M208"/>
      <c r="N208"/>
      <c r="O208"/>
      <c r="P208"/>
    </row>
    <row r="209" spans="1:16" ht="20.25" customHeight="1" x14ac:dyDescent="0.25">
      <c r="A209"/>
      <c r="B209"/>
      <c r="C209"/>
      <c r="D209"/>
      <c r="E209"/>
      <c r="F209"/>
      <c r="G209"/>
      <c r="H209"/>
      <c r="I209"/>
      <c r="J209"/>
      <c r="K209"/>
      <c r="L209"/>
      <c r="M209"/>
      <c r="N209"/>
      <c r="O209"/>
      <c r="P209"/>
    </row>
    <row r="210" spans="1:16" ht="20.25" customHeight="1" x14ac:dyDescent="0.25">
      <c r="A210"/>
      <c r="B210"/>
      <c r="C210"/>
      <c r="D210"/>
      <c r="E210"/>
      <c r="F210"/>
      <c r="G210"/>
      <c r="H210"/>
      <c r="I210"/>
      <c r="J210"/>
      <c r="K210"/>
      <c r="L210"/>
      <c r="M210"/>
      <c r="N210"/>
      <c r="O210"/>
      <c r="P210"/>
    </row>
    <row r="211" spans="1:16" ht="20.25" customHeight="1" x14ac:dyDescent="0.25">
      <c r="A211"/>
      <c r="B211"/>
      <c r="C211"/>
      <c r="D211"/>
      <c r="E211"/>
      <c r="F211"/>
      <c r="G211"/>
      <c r="H211"/>
      <c r="I211"/>
      <c r="J211"/>
      <c r="K211"/>
      <c r="L211"/>
      <c r="M211"/>
      <c r="N211"/>
      <c r="O211"/>
      <c r="P211"/>
    </row>
    <row r="212" spans="1:16" ht="20.25" customHeight="1" x14ac:dyDescent="0.25">
      <c r="A212"/>
      <c r="B212"/>
      <c r="C212"/>
      <c r="D212"/>
      <c r="E212"/>
      <c r="F212"/>
      <c r="G212"/>
      <c r="H212"/>
      <c r="I212"/>
      <c r="J212"/>
      <c r="K212"/>
      <c r="L212"/>
      <c r="M212"/>
      <c r="N212"/>
      <c r="O212"/>
      <c r="P212"/>
    </row>
    <row r="213" spans="1:16" ht="20.25" customHeight="1" x14ac:dyDescent="0.25">
      <c r="A213"/>
      <c r="B213"/>
      <c r="C213"/>
      <c r="D213"/>
      <c r="E213"/>
      <c r="F213"/>
      <c r="G213"/>
      <c r="H213"/>
      <c r="I213"/>
      <c r="J213"/>
      <c r="K213"/>
      <c r="L213"/>
      <c r="M213"/>
      <c r="N213"/>
      <c r="O213"/>
      <c r="P213"/>
    </row>
    <row r="214" spans="1:16" ht="20.25" customHeight="1" x14ac:dyDescent="0.25">
      <c r="A214"/>
      <c r="B214"/>
      <c r="C214"/>
      <c r="D214"/>
      <c r="E214"/>
      <c r="F214"/>
      <c r="G214"/>
      <c r="H214"/>
      <c r="I214"/>
      <c r="J214"/>
      <c r="K214"/>
      <c r="L214"/>
      <c r="M214"/>
      <c r="N214"/>
      <c r="O214"/>
      <c r="P214"/>
    </row>
    <row r="215" spans="1:16" ht="20.25" customHeight="1" x14ac:dyDescent="0.25">
      <c r="A215"/>
      <c r="B215"/>
      <c r="C215"/>
      <c r="D215"/>
      <c r="E215"/>
      <c r="F215"/>
      <c r="G215"/>
      <c r="H215"/>
      <c r="I215"/>
      <c r="J215"/>
      <c r="K215"/>
      <c r="L215"/>
      <c r="M215"/>
      <c r="N215"/>
      <c r="O215"/>
      <c r="P215"/>
    </row>
    <row r="216" spans="1:16" ht="20.25" customHeight="1" x14ac:dyDescent="0.25">
      <c r="A216"/>
      <c r="B216"/>
      <c r="C216"/>
      <c r="D216"/>
      <c r="E216"/>
      <c r="F216"/>
      <c r="G216"/>
      <c r="H216"/>
      <c r="I216"/>
      <c r="J216"/>
      <c r="K216"/>
      <c r="L216"/>
      <c r="M216"/>
      <c r="N216"/>
      <c r="O216"/>
      <c r="P216"/>
    </row>
    <row r="217" spans="1:16" ht="20.25" customHeight="1" x14ac:dyDescent="0.25">
      <c r="A217"/>
      <c r="B217"/>
      <c r="C217"/>
      <c r="D217"/>
      <c r="E217"/>
      <c r="F217"/>
      <c r="G217"/>
      <c r="H217"/>
      <c r="I217"/>
      <c r="J217"/>
      <c r="K217"/>
      <c r="L217"/>
      <c r="M217"/>
      <c r="N217"/>
      <c r="O217"/>
      <c r="P217"/>
    </row>
    <row r="218" spans="1:16" ht="20.25" customHeight="1" x14ac:dyDescent="0.25">
      <c r="A218"/>
      <c r="B218"/>
      <c r="C218"/>
      <c r="D218"/>
      <c r="E218"/>
      <c r="F218"/>
      <c r="G218"/>
      <c r="H218"/>
      <c r="I218"/>
      <c r="J218"/>
      <c r="K218"/>
      <c r="L218"/>
      <c r="M218"/>
      <c r="N218"/>
      <c r="O218"/>
      <c r="P218"/>
    </row>
    <row r="219" spans="1:16" ht="21" customHeight="1" x14ac:dyDescent="0.25">
      <c r="A219"/>
      <c r="B219"/>
      <c r="C219"/>
      <c r="D219"/>
      <c r="E219"/>
      <c r="F219"/>
      <c r="G219"/>
      <c r="H219"/>
      <c r="I219"/>
      <c r="J219"/>
      <c r="K219"/>
      <c r="L219"/>
      <c r="M219"/>
      <c r="N219"/>
      <c r="O219"/>
      <c r="P219"/>
    </row>
    <row r="220" spans="1:16" ht="20.25" customHeight="1" x14ac:dyDescent="0.25">
      <c r="A220"/>
      <c r="B220"/>
      <c r="C220"/>
      <c r="D220"/>
      <c r="E220"/>
      <c r="F220"/>
      <c r="G220"/>
      <c r="H220"/>
      <c r="I220"/>
      <c r="J220"/>
      <c r="K220"/>
      <c r="L220"/>
      <c r="M220"/>
      <c r="N220"/>
      <c r="O220"/>
      <c r="P220"/>
    </row>
    <row r="221" spans="1:16" ht="20.25" customHeight="1" x14ac:dyDescent="0.25">
      <c r="A221"/>
      <c r="B221"/>
      <c r="C221"/>
      <c r="D221"/>
      <c r="E221"/>
      <c r="F221"/>
      <c r="G221"/>
      <c r="H221"/>
      <c r="I221"/>
      <c r="J221"/>
      <c r="K221"/>
      <c r="L221"/>
      <c r="M221"/>
      <c r="N221"/>
      <c r="O221"/>
      <c r="P221"/>
    </row>
    <row r="222" spans="1:16" ht="20.25" customHeight="1" x14ac:dyDescent="0.25">
      <c r="A222"/>
      <c r="B222"/>
      <c r="C222"/>
      <c r="D222"/>
      <c r="E222"/>
      <c r="F222"/>
      <c r="G222"/>
      <c r="H222"/>
      <c r="I222"/>
      <c r="J222"/>
      <c r="K222"/>
      <c r="L222"/>
      <c r="M222"/>
      <c r="N222"/>
      <c r="O222"/>
      <c r="P222"/>
    </row>
    <row r="223" spans="1:16" ht="20.25" customHeight="1" x14ac:dyDescent="0.25">
      <c r="A223"/>
      <c r="B223"/>
      <c r="C223"/>
      <c r="D223"/>
      <c r="E223"/>
      <c r="F223"/>
      <c r="G223"/>
      <c r="H223"/>
      <c r="I223"/>
      <c r="J223"/>
      <c r="K223"/>
      <c r="L223"/>
      <c r="M223"/>
      <c r="N223"/>
      <c r="O223"/>
      <c r="P223"/>
    </row>
    <row r="224" spans="1:16" ht="20.25" customHeight="1" x14ac:dyDescent="0.25">
      <c r="A224"/>
      <c r="B224"/>
      <c r="C224"/>
      <c r="D224"/>
      <c r="E224"/>
      <c r="F224"/>
      <c r="G224"/>
      <c r="H224"/>
      <c r="I224"/>
      <c r="J224"/>
      <c r="K224"/>
      <c r="L224"/>
      <c r="M224"/>
      <c r="N224"/>
      <c r="O224"/>
      <c r="P224"/>
    </row>
    <row r="225" spans="1:16" ht="20.25" customHeight="1" x14ac:dyDescent="0.25">
      <c r="A225"/>
      <c r="B225"/>
      <c r="C225"/>
      <c r="D225"/>
      <c r="E225"/>
      <c r="F225"/>
      <c r="G225"/>
      <c r="H225"/>
      <c r="I225"/>
      <c r="J225"/>
      <c r="K225"/>
      <c r="L225"/>
      <c r="M225"/>
      <c r="N225"/>
      <c r="O225"/>
      <c r="P225"/>
    </row>
    <row r="226" spans="1:16" ht="20.25" customHeight="1" x14ac:dyDescent="0.25">
      <c r="A226"/>
      <c r="B226"/>
      <c r="C226"/>
      <c r="D226"/>
      <c r="E226"/>
      <c r="F226"/>
      <c r="G226"/>
      <c r="H226"/>
      <c r="I226"/>
      <c r="J226"/>
      <c r="K226"/>
      <c r="L226"/>
      <c r="M226"/>
      <c r="N226"/>
      <c r="O226"/>
      <c r="P226"/>
    </row>
    <row r="227" spans="1:16" ht="20.25" customHeight="1" x14ac:dyDescent="0.25">
      <c r="A227"/>
      <c r="B227"/>
      <c r="C227"/>
      <c r="D227"/>
      <c r="E227"/>
      <c r="F227"/>
      <c r="G227"/>
      <c r="H227"/>
      <c r="I227"/>
      <c r="J227"/>
      <c r="K227"/>
      <c r="L227"/>
      <c r="M227"/>
      <c r="N227"/>
      <c r="O227"/>
      <c r="P227"/>
    </row>
    <row r="228" spans="1:16" ht="20.25" customHeight="1" x14ac:dyDescent="0.25">
      <c r="A228"/>
      <c r="B228"/>
      <c r="C228"/>
      <c r="D228"/>
      <c r="E228"/>
      <c r="F228"/>
      <c r="G228"/>
      <c r="H228"/>
      <c r="I228"/>
      <c r="J228"/>
      <c r="K228"/>
      <c r="L228"/>
      <c r="M228"/>
      <c r="N228"/>
      <c r="O228"/>
      <c r="P228"/>
    </row>
    <row r="229" spans="1:16" ht="20.25" customHeight="1" x14ac:dyDescent="0.25">
      <c r="A229"/>
      <c r="B229"/>
      <c r="C229"/>
      <c r="D229"/>
      <c r="E229"/>
      <c r="F229"/>
      <c r="G229"/>
      <c r="H229"/>
      <c r="I229"/>
      <c r="J229"/>
      <c r="K229"/>
      <c r="L229"/>
      <c r="M229"/>
      <c r="N229"/>
      <c r="O229"/>
      <c r="P229"/>
    </row>
    <row r="230" spans="1:16" ht="20.25" customHeight="1" x14ac:dyDescent="0.25">
      <c r="A230"/>
      <c r="B230"/>
      <c r="C230"/>
      <c r="D230"/>
      <c r="E230"/>
      <c r="F230"/>
      <c r="G230"/>
      <c r="H230"/>
      <c r="I230"/>
      <c r="J230"/>
      <c r="K230"/>
      <c r="L230"/>
      <c r="M230"/>
      <c r="N230"/>
      <c r="O230"/>
      <c r="P230"/>
    </row>
    <row r="231" spans="1:16" ht="20.25" customHeight="1" x14ac:dyDescent="0.25">
      <c r="A231"/>
      <c r="B231"/>
      <c r="C231"/>
      <c r="D231"/>
      <c r="E231"/>
      <c r="F231"/>
      <c r="G231"/>
      <c r="H231"/>
      <c r="I231"/>
      <c r="J231"/>
      <c r="K231"/>
      <c r="L231"/>
      <c r="M231"/>
      <c r="N231"/>
      <c r="O231"/>
      <c r="P231"/>
    </row>
    <row r="232" spans="1:16" ht="20.25" customHeight="1" x14ac:dyDescent="0.25">
      <c r="A232"/>
      <c r="B232"/>
      <c r="C232"/>
      <c r="D232"/>
      <c r="E232"/>
      <c r="F232"/>
      <c r="G232"/>
      <c r="H232"/>
      <c r="I232"/>
      <c r="J232"/>
      <c r="K232"/>
      <c r="L232"/>
      <c r="M232"/>
      <c r="N232"/>
      <c r="O232"/>
      <c r="P232"/>
    </row>
    <row r="233" spans="1:16" ht="20.25" customHeight="1" x14ac:dyDescent="0.25">
      <c r="A233"/>
      <c r="B233"/>
      <c r="C233"/>
      <c r="D233"/>
      <c r="E233"/>
      <c r="F233"/>
      <c r="G233"/>
      <c r="H233"/>
      <c r="I233"/>
      <c r="J233"/>
      <c r="K233"/>
      <c r="L233"/>
      <c r="M233"/>
      <c r="N233"/>
      <c r="O233"/>
      <c r="P233"/>
    </row>
    <row r="234" spans="1:16" ht="20.25" customHeight="1" x14ac:dyDescent="0.25">
      <c r="A234"/>
      <c r="B234"/>
      <c r="C234"/>
      <c r="D234"/>
      <c r="E234"/>
      <c r="F234"/>
      <c r="G234"/>
      <c r="H234"/>
      <c r="I234"/>
      <c r="J234"/>
      <c r="K234"/>
      <c r="L234"/>
      <c r="M234"/>
      <c r="N234"/>
      <c r="O234"/>
      <c r="P234"/>
    </row>
    <row r="235" spans="1:16" ht="20.25" customHeight="1" x14ac:dyDescent="0.25">
      <c r="A235"/>
      <c r="B235"/>
      <c r="C235"/>
      <c r="D235"/>
      <c r="E235"/>
      <c r="F235"/>
      <c r="G235"/>
      <c r="H235"/>
      <c r="I235"/>
      <c r="J235"/>
      <c r="K235"/>
      <c r="L235"/>
      <c r="M235"/>
      <c r="N235"/>
      <c r="O235"/>
      <c r="P235"/>
    </row>
    <row r="236" spans="1:16" ht="20.25" customHeight="1" x14ac:dyDescent="0.25">
      <c r="A236"/>
      <c r="B236"/>
      <c r="C236"/>
      <c r="D236"/>
      <c r="E236"/>
      <c r="F236"/>
      <c r="G236"/>
      <c r="H236"/>
      <c r="I236"/>
      <c r="J236"/>
      <c r="K236"/>
      <c r="L236"/>
      <c r="M236"/>
      <c r="N236"/>
      <c r="O236"/>
      <c r="P236"/>
    </row>
    <row r="237" spans="1:16" ht="20.25" customHeight="1" x14ac:dyDescent="0.25">
      <c r="A237"/>
      <c r="B237"/>
      <c r="C237"/>
      <c r="D237"/>
      <c r="E237"/>
      <c r="F237"/>
      <c r="G237"/>
      <c r="H237"/>
      <c r="I237"/>
      <c r="J237"/>
      <c r="K237"/>
      <c r="L237"/>
      <c r="M237"/>
      <c r="N237"/>
      <c r="O237"/>
      <c r="P237"/>
    </row>
    <row r="238" spans="1:16" ht="20.25" customHeight="1" x14ac:dyDescent="0.25">
      <c r="A238"/>
      <c r="B238"/>
      <c r="C238"/>
      <c r="D238"/>
      <c r="E238"/>
      <c r="F238"/>
      <c r="G238"/>
      <c r="H238"/>
      <c r="I238"/>
      <c r="J238"/>
      <c r="K238"/>
      <c r="L238"/>
      <c r="M238"/>
      <c r="N238"/>
      <c r="O238"/>
      <c r="P238"/>
    </row>
    <row r="239" spans="1:16" ht="20.25" customHeight="1" x14ac:dyDescent="0.25">
      <c r="A239"/>
      <c r="B239"/>
      <c r="C239"/>
      <c r="D239"/>
      <c r="E239"/>
      <c r="F239"/>
      <c r="G239"/>
      <c r="H239"/>
      <c r="I239"/>
      <c r="J239"/>
      <c r="K239"/>
      <c r="L239"/>
      <c r="M239"/>
      <c r="N239"/>
      <c r="O239"/>
      <c r="P239"/>
    </row>
    <row r="240" spans="1:16" ht="20.25" customHeight="1" x14ac:dyDescent="0.25">
      <c r="A240"/>
      <c r="B240"/>
      <c r="C240"/>
      <c r="D240"/>
      <c r="E240"/>
      <c r="F240"/>
      <c r="G240"/>
      <c r="H240"/>
      <c r="I240"/>
      <c r="J240"/>
      <c r="K240"/>
      <c r="L240"/>
      <c r="M240"/>
      <c r="N240"/>
      <c r="O240"/>
      <c r="P240"/>
    </row>
    <row r="241" spans="1:16" ht="20.25" customHeight="1" x14ac:dyDescent="0.25">
      <c r="A241"/>
      <c r="B241"/>
      <c r="C241"/>
      <c r="D241"/>
      <c r="E241"/>
      <c r="F241"/>
      <c r="G241"/>
      <c r="H241"/>
      <c r="I241"/>
      <c r="J241"/>
      <c r="K241"/>
      <c r="L241"/>
      <c r="M241"/>
      <c r="N241"/>
      <c r="O241"/>
      <c r="P241"/>
    </row>
    <row r="242" spans="1:16" ht="20.25" customHeight="1" x14ac:dyDescent="0.25">
      <c r="A242"/>
      <c r="B242"/>
      <c r="C242"/>
      <c r="D242"/>
      <c r="E242"/>
      <c r="F242"/>
      <c r="G242"/>
      <c r="H242"/>
      <c r="I242"/>
      <c r="J242"/>
      <c r="K242"/>
      <c r="L242"/>
      <c r="M242"/>
      <c r="N242"/>
      <c r="O242"/>
      <c r="P242"/>
    </row>
    <row r="243" spans="1:16" ht="20.25" customHeight="1" x14ac:dyDescent="0.25">
      <c r="A243"/>
      <c r="B243"/>
      <c r="C243"/>
      <c r="D243"/>
      <c r="E243"/>
      <c r="F243"/>
      <c r="G243"/>
      <c r="H243"/>
      <c r="I243"/>
      <c r="J243"/>
      <c r="K243"/>
      <c r="L243"/>
      <c r="M243"/>
      <c r="N243"/>
      <c r="O243"/>
      <c r="P243"/>
    </row>
    <row r="244" spans="1:16" ht="20.25" customHeight="1" x14ac:dyDescent="0.25">
      <c r="A244"/>
      <c r="B244"/>
      <c r="C244"/>
      <c r="D244"/>
      <c r="E244"/>
      <c r="F244"/>
      <c r="G244"/>
      <c r="H244"/>
      <c r="I244"/>
      <c r="J244"/>
      <c r="K244"/>
      <c r="L244"/>
      <c r="M244"/>
      <c r="N244"/>
      <c r="O244"/>
      <c r="P244"/>
    </row>
    <row r="245" spans="1:16" ht="20.25" customHeight="1" x14ac:dyDescent="0.25">
      <c r="A245"/>
      <c r="B245"/>
      <c r="C245"/>
      <c r="D245"/>
      <c r="E245"/>
      <c r="F245"/>
      <c r="G245"/>
      <c r="H245"/>
      <c r="I245"/>
      <c r="J245"/>
      <c r="K245"/>
      <c r="L245"/>
      <c r="M245"/>
      <c r="N245"/>
      <c r="O245"/>
      <c r="P245"/>
    </row>
    <row r="246" spans="1:16" ht="20.25" customHeight="1" x14ac:dyDescent="0.25">
      <c r="A246"/>
      <c r="B246"/>
      <c r="C246"/>
      <c r="D246"/>
      <c r="E246"/>
      <c r="F246"/>
      <c r="G246"/>
      <c r="H246"/>
      <c r="I246"/>
      <c r="J246"/>
      <c r="K246"/>
      <c r="L246"/>
      <c r="M246"/>
      <c r="N246"/>
      <c r="O246"/>
      <c r="P246"/>
    </row>
    <row r="247" spans="1:16" ht="20.25" customHeight="1" x14ac:dyDescent="0.25">
      <c r="A247"/>
      <c r="B247"/>
      <c r="C247"/>
      <c r="D247"/>
      <c r="E247"/>
      <c r="F247"/>
      <c r="G247"/>
      <c r="H247"/>
      <c r="I247"/>
      <c r="J247"/>
      <c r="K247"/>
      <c r="L247"/>
      <c r="M247"/>
      <c r="N247"/>
      <c r="O247"/>
      <c r="P247"/>
    </row>
    <row r="248" spans="1:16" ht="20.25" customHeight="1" x14ac:dyDescent="0.25">
      <c r="A248"/>
      <c r="B248"/>
      <c r="C248"/>
      <c r="D248"/>
      <c r="E248"/>
      <c r="F248"/>
      <c r="G248"/>
      <c r="H248"/>
      <c r="I248"/>
      <c r="J248"/>
      <c r="K248"/>
      <c r="L248"/>
      <c r="M248"/>
      <c r="N248"/>
      <c r="O248"/>
      <c r="P248"/>
    </row>
    <row r="249" spans="1:16" ht="20.25" customHeight="1" x14ac:dyDescent="0.25">
      <c r="A249"/>
      <c r="B249"/>
      <c r="C249"/>
      <c r="D249"/>
      <c r="E249"/>
      <c r="F249"/>
      <c r="G249"/>
      <c r="H249"/>
      <c r="I249"/>
      <c r="J249"/>
      <c r="K249"/>
      <c r="L249"/>
      <c r="M249"/>
      <c r="N249"/>
      <c r="O249"/>
      <c r="P249"/>
    </row>
    <row r="250" spans="1:16" ht="20.25" customHeight="1" x14ac:dyDescent="0.25">
      <c r="A250"/>
      <c r="B250"/>
      <c r="C250"/>
      <c r="D250"/>
      <c r="E250"/>
      <c r="F250"/>
      <c r="G250"/>
      <c r="H250"/>
      <c r="I250"/>
      <c r="J250"/>
      <c r="K250"/>
      <c r="L250"/>
      <c r="M250"/>
      <c r="N250"/>
      <c r="O250"/>
      <c r="P250"/>
    </row>
    <row r="251" spans="1:16" ht="20.25" customHeight="1" x14ac:dyDescent="0.25">
      <c r="A251"/>
      <c r="B251"/>
      <c r="C251"/>
      <c r="D251"/>
      <c r="E251"/>
      <c r="F251"/>
      <c r="G251"/>
      <c r="H251"/>
      <c r="I251"/>
      <c r="J251"/>
      <c r="K251"/>
      <c r="L251"/>
      <c r="M251"/>
      <c r="N251"/>
      <c r="O251"/>
      <c r="P251"/>
    </row>
    <row r="252" spans="1:16" ht="20.25" customHeight="1" x14ac:dyDescent="0.25">
      <c r="A252"/>
      <c r="B252"/>
      <c r="C252"/>
      <c r="D252"/>
      <c r="E252"/>
      <c r="F252"/>
      <c r="G252"/>
      <c r="H252"/>
      <c r="I252"/>
      <c r="J252"/>
      <c r="K252"/>
      <c r="L252"/>
      <c r="M252"/>
      <c r="N252"/>
      <c r="O252"/>
      <c r="P252"/>
    </row>
    <row r="253" spans="1:16" ht="20.25" customHeight="1" x14ac:dyDescent="0.25">
      <c r="A253"/>
      <c r="B253"/>
      <c r="C253"/>
      <c r="D253"/>
      <c r="E253"/>
      <c r="F253"/>
      <c r="G253"/>
      <c r="H253"/>
      <c r="I253"/>
      <c r="J253"/>
      <c r="K253"/>
      <c r="L253"/>
      <c r="M253"/>
      <c r="N253"/>
      <c r="O253"/>
      <c r="P253"/>
    </row>
    <row r="254" spans="1:16" ht="20.25" customHeight="1" x14ac:dyDescent="0.25">
      <c r="A254"/>
      <c r="B254"/>
      <c r="C254"/>
      <c r="D254"/>
      <c r="E254"/>
      <c r="F254"/>
      <c r="G254"/>
      <c r="H254"/>
      <c r="I254"/>
      <c r="J254"/>
      <c r="K254"/>
      <c r="L254"/>
      <c r="M254"/>
      <c r="N254"/>
      <c r="O254"/>
      <c r="P254"/>
    </row>
    <row r="255" spans="1:16" ht="20.25" customHeight="1" x14ac:dyDescent="0.25">
      <c r="A255"/>
      <c r="B255"/>
      <c r="C255"/>
      <c r="D255"/>
      <c r="E255"/>
      <c r="F255"/>
      <c r="G255"/>
      <c r="H255"/>
      <c r="I255"/>
      <c r="J255"/>
      <c r="K255"/>
      <c r="L255"/>
      <c r="M255"/>
      <c r="N255"/>
      <c r="O255"/>
      <c r="P255"/>
    </row>
    <row r="256" spans="1:16" ht="20.25" customHeight="1" x14ac:dyDescent="0.25">
      <c r="A256"/>
      <c r="B256"/>
      <c r="C256"/>
      <c r="D256"/>
      <c r="E256"/>
      <c r="F256"/>
      <c r="G256"/>
      <c r="H256"/>
      <c r="I256"/>
      <c r="J256"/>
      <c r="K256"/>
      <c r="L256"/>
      <c r="M256"/>
      <c r="N256"/>
      <c r="O256"/>
      <c r="P256"/>
    </row>
    <row r="257" spans="1:16" ht="20.25" customHeight="1" x14ac:dyDescent="0.25">
      <c r="A257"/>
      <c r="B257"/>
      <c r="C257"/>
      <c r="D257"/>
      <c r="E257"/>
      <c r="F257"/>
      <c r="G257"/>
      <c r="H257"/>
      <c r="I257"/>
      <c r="J257"/>
      <c r="K257"/>
      <c r="L257"/>
      <c r="M257"/>
      <c r="N257"/>
      <c r="O257"/>
      <c r="P257"/>
    </row>
    <row r="258" spans="1:16" ht="20.25" customHeight="1" x14ac:dyDescent="0.25">
      <c r="A258"/>
      <c r="B258"/>
      <c r="C258"/>
      <c r="D258"/>
      <c r="E258"/>
      <c r="F258"/>
      <c r="G258"/>
      <c r="H258"/>
      <c r="I258"/>
      <c r="J258"/>
      <c r="K258"/>
      <c r="L258"/>
      <c r="M258"/>
      <c r="N258"/>
      <c r="O258"/>
      <c r="P258"/>
    </row>
    <row r="259" spans="1:16" ht="20.25" customHeight="1" x14ac:dyDescent="0.25">
      <c r="A259"/>
      <c r="B259"/>
      <c r="C259"/>
      <c r="D259"/>
      <c r="E259"/>
      <c r="F259"/>
      <c r="G259"/>
      <c r="H259"/>
      <c r="I259"/>
      <c r="J259"/>
      <c r="K259"/>
      <c r="L259"/>
      <c r="M259"/>
      <c r="N259"/>
      <c r="O259"/>
      <c r="P259"/>
    </row>
    <row r="260" spans="1:16" ht="20.25" customHeight="1" x14ac:dyDescent="0.25">
      <c r="A260"/>
      <c r="B260"/>
      <c r="C260"/>
      <c r="D260"/>
      <c r="E260"/>
      <c r="F260"/>
      <c r="G260"/>
      <c r="H260"/>
      <c r="I260"/>
      <c r="J260"/>
      <c r="K260"/>
      <c r="L260"/>
      <c r="M260"/>
      <c r="N260"/>
      <c r="O260"/>
      <c r="P260"/>
    </row>
    <row r="261" spans="1:16" ht="20.25" customHeight="1" x14ac:dyDescent="0.25">
      <c r="A261"/>
      <c r="B261"/>
      <c r="C261"/>
      <c r="D261"/>
      <c r="E261"/>
      <c r="F261"/>
      <c r="G261"/>
      <c r="H261"/>
      <c r="I261"/>
      <c r="J261"/>
      <c r="K261"/>
      <c r="L261"/>
      <c r="M261"/>
      <c r="N261"/>
      <c r="O261"/>
      <c r="P261"/>
    </row>
    <row r="262" spans="1:16" ht="20.25" customHeight="1" x14ac:dyDescent="0.25">
      <c r="A262"/>
      <c r="B262"/>
      <c r="C262"/>
      <c r="D262"/>
      <c r="E262"/>
      <c r="F262"/>
      <c r="G262"/>
      <c r="H262"/>
      <c r="I262"/>
      <c r="J262"/>
      <c r="K262"/>
      <c r="L262"/>
      <c r="M262"/>
      <c r="N262"/>
      <c r="O262"/>
      <c r="P262"/>
    </row>
    <row r="263" spans="1:16" ht="20.25" customHeight="1" x14ac:dyDescent="0.25">
      <c r="A263"/>
      <c r="B263"/>
      <c r="C263"/>
      <c r="D263"/>
      <c r="E263"/>
      <c r="F263"/>
      <c r="G263"/>
      <c r="H263"/>
      <c r="I263"/>
      <c r="J263"/>
      <c r="K263"/>
      <c r="L263"/>
      <c r="M263"/>
      <c r="N263"/>
      <c r="O263"/>
      <c r="P263"/>
    </row>
    <row r="264" spans="1:16" ht="20.25" customHeight="1" x14ac:dyDescent="0.25">
      <c r="A264"/>
      <c r="B264"/>
      <c r="C264"/>
      <c r="D264"/>
      <c r="E264"/>
      <c r="F264"/>
      <c r="G264"/>
      <c r="H264"/>
      <c r="I264"/>
      <c r="J264"/>
      <c r="K264"/>
      <c r="L264"/>
      <c r="M264"/>
      <c r="N264"/>
      <c r="O264"/>
      <c r="P264"/>
    </row>
    <row r="265" spans="1:16" ht="20.25" customHeight="1" x14ac:dyDescent="0.25">
      <c r="A265"/>
      <c r="B265"/>
      <c r="C265"/>
      <c r="D265"/>
      <c r="E265"/>
      <c r="F265"/>
      <c r="G265"/>
      <c r="H265"/>
      <c r="I265"/>
      <c r="J265"/>
      <c r="K265"/>
      <c r="L265"/>
      <c r="M265"/>
      <c r="N265"/>
      <c r="O265"/>
      <c r="P265"/>
    </row>
    <row r="266" spans="1:16" ht="20.25" customHeight="1" x14ac:dyDescent="0.25">
      <c r="A266"/>
      <c r="B266"/>
      <c r="C266"/>
      <c r="D266"/>
      <c r="E266"/>
      <c r="F266"/>
      <c r="G266"/>
      <c r="H266"/>
      <c r="I266"/>
      <c r="J266"/>
      <c r="K266"/>
      <c r="L266"/>
      <c r="M266"/>
      <c r="N266"/>
      <c r="O266"/>
      <c r="P266"/>
    </row>
    <row r="267" spans="1:16" ht="20.25" customHeight="1" x14ac:dyDescent="0.25">
      <c r="A267"/>
      <c r="B267"/>
      <c r="C267"/>
      <c r="D267"/>
      <c r="E267"/>
      <c r="F267"/>
      <c r="G267"/>
      <c r="H267"/>
      <c r="I267"/>
      <c r="J267"/>
      <c r="K267"/>
      <c r="L267"/>
      <c r="M267"/>
      <c r="N267"/>
      <c r="O267"/>
      <c r="P267"/>
    </row>
    <row r="268" spans="1:16" ht="20.25" customHeight="1" x14ac:dyDescent="0.25">
      <c r="A268"/>
      <c r="B268"/>
      <c r="C268"/>
      <c r="D268"/>
      <c r="E268"/>
      <c r="F268"/>
      <c r="G268"/>
      <c r="H268"/>
      <c r="I268"/>
      <c r="J268"/>
      <c r="K268"/>
      <c r="L268"/>
      <c r="M268"/>
      <c r="N268"/>
      <c r="O268"/>
      <c r="P268"/>
    </row>
    <row r="269" spans="1:16" ht="20.25" customHeight="1" x14ac:dyDescent="0.25">
      <c r="A269"/>
      <c r="B269"/>
      <c r="C269"/>
      <c r="D269"/>
      <c r="E269"/>
      <c r="F269"/>
      <c r="G269"/>
      <c r="H269"/>
      <c r="I269"/>
      <c r="J269"/>
      <c r="K269"/>
      <c r="L269"/>
      <c r="M269"/>
      <c r="N269"/>
      <c r="O269"/>
      <c r="P269"/>
    </row>
    <row r="270" spans="1:16" ht="20.25" customHeight="1" x14ac:dyDescent="0.25">
      <c r="A270"/>
      <c r="B270"/>
      <c r="C270"/>
      <c r="D270"/>
      <c r="E270"/>
      <c r="F270"/>
      <c r="G270"/>
      <c r="H270"/>
      <c r="I270"/>
      <c r="J270"/>
      <c r="K270"/>
      <c r="L270"/>
      <c r="M270"/>
      <c r="N270"/>
      <c r="O270"/>
      <c r="P270"/>
    </row>
    <row r="271" spans="1:16" ht="20.25" customHeight="1" x14ac:dyDescent="0.25">
      <c r="A271"/>
      <c r="B271"/>
      <c r="C271"/>
      <c r="D271"/>
      <c r="E271"/>
      <c r="F271"/>
      <c r="G271"/>
      <c r="H271"/>
      <c r="I271"/>
      <c r="J271"/>
      <c r="K271"/>
      <c r="L271"/>
      <c r="M271"/>
      <c r="N271"/>
      <c r="O271"/>
      <c r="P271"/>
    </row>
    <row r="272" spans="1:16" ht="20.25" customHeight="1" x14ac:dyDescent="0.25">
      <c r="A272"/>
      <c r="B272"/>
      <c r="C272"/>
      <c r="D272"/>
      <c r="E272"/>
      <c r="F272"/>
      <c r="G272"/>
      <c r="H272"/>
      <c r="I272"/>
      <c r="J272"/>
      <c r="K272"/>
      <c r="L272"/>
      <c r="M272"/>
      <c r="N272"/>
      <c r="O272"/>
      <c r="P272"/>
    </row>
    <row r="273" spans="1:16" ht="20.25" customHeight="1" x14ac:dyDescent="0.25">
      <c r="A273"/>
      <c r="B273"/>
      <c r="C273"/>
      <c r="D273"/>
      <c r="E273"/>
      <c r="F273"/>
      <c r="G273"/>
      <c r="H273"/>
      <c r="I273"/>
      <c r="J273"/>
      <c r="K273"/>
      <c r="L273"/>
      <c r="M273"/>
      <c r="N273"/>
      <c r="O273"/>
      <c r="P273"/>
    </row>
    <row r="274" spans="1:16" ht="20.25" customHeight="1" x14ac:dyDescent="0.25">
      <c r="A274"/>
      <c r="B274"/>
      <c r="C274"/>
      <c r="D274"/>
      <c r="E274"/>
      <c r="F274"/>
      <c r="G274"/>
      <c r="H274"/>
      <c r="I274"/>
      <c r="J274"/>
      <c r="K274"/>
      <c r="L274"/>
      <c r="M274"/>
      <c r="N274"/>
      <c r="O274"/>
      <c r="P274"/>
    </row>
    <row r="275" spans="1:16" ht="20.25" customHeight="1" x14ac:dyDescent="0.25">
      <c r="A275"/>
      <c r="B275"/>
      <c r="C275"/>
      <c r="D275"/>
      <c r="E275"/>
      <c r="F275"/>
      <c r="G275"/>
      <c r="H275"/>
      <c r="I275"/>
      <c r="J275"/>
      <c r="K275"/>
      <c r="L275"/>
      <c r="M275"/>
      <c r="N275"/>
      <c r="O275"/>
      <c r="P275"/>
    </row>
    <row r="276" spans="1:16" ht="20.25" customHeight="1" x14ac:dyDescent="0.25">
      <c r="A276"/>
      <c r="B276"/>
      <c r="C276"/>
      <c r="D276"/>
      <c r="E276"/>
      <c r="F276"/>
      <c r="G276"/>
      <c r="H276"/>
      <c r="I276"/>
      <c r="J276"/>
      <c r="K276"/>
      <c r="L276"/>
      <c r="M276"/>
      <c r="N276"/>
      <c r="O276"/>
      <c r="P276"/>
    </row>
    <row r="277" spans="1:16" ht="20.25" customHeight="1" x14ac:dyDescent="0.25">
      <c r="A277"/>
      <c r="B277"/>
      <c r="C277"/>
      <c r="D277"/>
      <c r="E277"/>
      <c r="F277"/>
      <c r="G277"/>
      <c r="H277"/>
      <c r="I277"/>
      <c r="J277"/>
      <c r="K277"/>
      <c r="L277"/>
      <c r="M277"/>
      <c r="N277"/>
      <c r="O277"/>
      <c r="P277"/>
    </row>
    <row r="278" spans="1:16" ht="20.25" customHeight="1" x14ac:dyDescent="0.25">
      <c r="A278"/>
      <c r="B278"/>
      <c r="C278"/>
      <c r="D278"/>
      <c r="E278"/>
      <c r="F278"/>
      <c r="G278"/>
      <c r="H278"/>
      <c r="I278"/>
      <c r="J278"/>
      <c r="K278"/>
      <c r="L278"/>
      <c r="M278"/>
      <c r="N278"/>
      <c r="O278"/>
      <c r="P278"/>
    </row>
    <row r="279" spans="1:16" ht="20.25" customHeight="1" x14ac:dyDescent="0.25">
      <c r="A279"/>
      <c r="B279"/>
      <c r="C279"/>
      <c r="D279"/>
      <c r="E279"/>
      <c r="F279"/>
      <c r="G279"/>
      <c r="H279"/>
      <c r="I279"/>
      <c r="J279"/>
      <c r="K279"/>
      <c r="L279"/>
      <c r="M279"/>
      <c r="N279"/>
      <c r="O279"/>
      <c r="P279"/>
    </row>
    <row r="280" spans="1:16" ht="20.25" customHeight="1" x14ac:dyDescent="0.25">
      <c r="A280"/>
      <c r="B280"/>
      <c r="C280"/>
      <c r="D280"/>
      <c r="E280"/>
      <c r="F280"/>
      <c r="G280"/>
      <c r="H280"/>
      <c r="I280"/>
      <c r="J280"/>
      <c r="K280"/>
      <c r="L280"/>
      <c r="M280"/>
      <c r="N280"/>
      <c r="O280"/>
      <c r="P280"/>
    </row>
    <row r="281" spans="1:16" ht="20.25" customHeight="1" x14ac:dyDescent="0.25">
      <c r="A281"/>
      <c r="B281"/>
      <c r="C281"/>
      <c r="D281"/>
      <c r="E281"/>
      <c r="F281"/>
      <c r="G281"/>
      <c r="H281"/>
      <c r="I281"/>
      <c r="J281"/>
      <c r="K281"/>
      <c r="L281"/>
      <c r="M281"/>
      <c r="N281"/>
      <c r="O281"/>
      <c r="P281"/>
    </row>
    <row r="282" spans="1:16" ht="20.25" customHeight="1" x14ac:dyDescent="0.25">
      <c r="A282"/>
      <c r="B282"/>
      <c r="C282"/>
      <c r="D282"/>
      <c r="E282"/>
      <c r="F282"/>
      <c r="G282"/>
      <c r="H282"/>
      <c r="I282"/>
      <c r="J282"/>
      <c r="K282"/>
      <c r="L282"/>
      <c r="M282"/>
      <c r="N282"/>
      <c r="O282"/>
      <c r="P282"/>
    </row>
    <row r="283" spans="1:16" ht="20.25" customHeight="1" x14ac:dyDescent="0.25">
      <c r="A283"/>
      <c r="B283"/>
      <c r="C283"/>
      <c r="D283"/>
      <c r="E283"/>
      <c r="F283"/>
      <c r="G283"/>
      <c r="H283"/>
      <c r="I283"/>
      <c r="J283"/>
      <c r="K283"/>
      <c r="L283"/>
      <c r="M283"/>
      <c r="N283"/>
      <c r="O283"/>
      <c r="P283"/>
    </row>
    <row r="284" spans="1:16" ht="20.25" customHeight="1" x14ac:dyDescent="0.25">
      <c r="A284"/>
      <c r="B284"/>
      <c r="C284"/>
      <c r="D284"/>
      <c r="E284"/>
      <c r="F284"/>
      <c r="G284"/>
      <c r="H284"/>
      <c r="I284"/>
      <c r="J284"/>
      <c r="K284"/>
      <c r="L284"/>
      <c r="M284"/>
      <c r="N284"/>
      <c r="O284"/>
      <c r="P284"/>
    </row>
    <row r="285" spans="1:16" ht="20.25" customHeight="1" x14ac:dyDescent="0.25">
      <c r="A285"/>
      <c r="B285"/>
      <c r="C285"/>
      <c r="D285"/>
      <c r="E285"/>
      <c r="F285"/>
      <c r="G285"/>
      <c r="H285"/>
      <c r="I285"/>
      <c r="J285"/>
      <c r="K285"/>
      <c r="L285"/>
      <c r="M285"/>
      <c r="N285"/>
      <c r="O285"/>
      <c r="P285"/>
    </row>
    <row r="286" spans="1:16" ht="20.25" customHeight="1" x14ac:dyDescent="0.25">
      <c r="A286"/>
      <c r="B286"/>
      <c r="C286"/>
      <c r="D286"/>
      <c r="E286"/>
      <c r="F286"/>
      <c r="G286"/>
      <c r="H286"/>
      <c r="I286"/>
      <c r="J286"/>
      <c r="K286"/>
      <c r="L286"/>
      <c r="M286"/>
      <c r="N286"/>
      <c r="O286"/>
      <c r="P286"/>
    </row>
    <row r="287" spans="1:16" ht="20.25" customHeight="1" x14ac:dyDescent="0.25">
      <c r="A287"/>
      <c r="B287"/>
      <c r="C287"/>
      <c r="D287"/>
      <c r="E287"/>
      <c r="F287"/>
      <c r="G287"/>
      <c r="H287"/>
      <c r="I287"/>
      <c r="J287"/>
      <c r="K287"/>
      <c r="L287"/>
      <c r="M287"/>
      <c r="N287"/>
      <c r="O287"/>
      <c r="P287"/>
    </row>
    <row r="288" spans="1:16" ht="20.25" customHeight="1" x14ac:dyDescent="0.25">
      <c r="A288"/>
      <c r="B288"/>
      <c r="C288"/>
      <c r="D288"/>
      <c r="E288"/>
      <c r="F288"/>
      <c r="G288"/>
      <c r="H288"/>
      <c r="I288"/>
      <c r="J288"/>
      <c r="K288"/>
      <c r="L288"/>
      <c r="M288"/>
      <c r="N288"/>
      <c r="O288"/>
      <c r="P288"/>
    </row>
    <row r="289" spans="1:16" ht="20.25" customHeight="1" x14ac:dyDescent="0.25">
      <c r="A289"/>
      <c r="B289"/>
      <c r="C289"/>
      <c r="D289"/>
      <c r="E289"/>
      <c r="F289"/>
      <c r="G289"/>
      <c r="H289"/>
      <c r="I289"/>
      <c r="J289"/>
      <c r="K289"/>
      <c r="L289"/>
      <c r="M289"/>
      <c r="N289"/>
      <c r="O289"/>
      <c r="P289"/>
    </row>
    <row r="290" spans="1:16" ht="20.25" customHeight="1" x14ac:dyDescent="0.25">
      <c r="A290"/>
      <c r="B290"/>
      <c r="C290"/>
      <c r="D290"/>
      <c r="E290"/>
      <c r="F290"/>
      <c r="G290"/>
      <c r="H290"/>
      <c r="I290"/>
      <c r="J290"/>
      <c r="K290"/>
      <c r="L290"/>
      <c r="M290"/>
      <c r="N290"/>
      <c r="O290"/>
      <c r="P290"/>
    </row>
    <row r="291" spans="1:16" ht="20.25" customHeight="1" x14ac:dyDescent="0.25">
      <c r="A291"/>
      <c r="B291"/>
      <c r="C291"/>
      <c r="D291"/>
      <c r="E291"/>
      <c r="F291"/>
      <c r="G291"/>
      <c r="H291"/>
      <c r="I291"/>
      <c r="J291"/>
      <c r="K291"/>
      <c r="L291"/>
      <c r="M291"/>
      <c r="N291"/>
      <c r="O291"/>
      <c r="P291"/>
    </row>
    <row r="292" spans="1:16" ht="3.75" customHeight="1" x14ac:dyDescent="0.25">
      <c r="A292"/>
      <c r="B292"/>
      <c r="C292"/>
      <c r="D292"/>
      <c r="E292"/>
      <c r="F292"/>
      <c r="G292"/>
      <c r="H292"/>
      <c r="I292"/>
      <c r="J292"/>
      <c r="K292"/>
      <c r="L292"/>
      <c r="M292"/>
      <c r="N292"/>
      <c r="O292"/>
      <c r="P292"/>
    </row>
    <row r="293" spans="1:16" x14ac:dyDescent="0.25">
      <c r="A293"/>
      <c r="B293"/>
      <c r="C293"/>
      <c r="D293"/>
      <c r="E293"/>
      <c r="F293"/>
      <c r="G293"/>
      <c r="H293"/>
      <c r="I293"/>
      <c r="J293"/>
      <c r="K293"/>
      <c r="L293"/>
      <c r="M293"/>
      <c r="N293"/>
      <c r="O293"/>
      <c r="P293"/>
    </row>
    <row r="294" spans="1:16" x14ac:dyDescent="0.25">
      <c r="A294"/>
      <c r="B294"/>
      <c r="C294"/>
      <c r="D294"/>
      <c r="E294"/>
      <c r="F294"/>
      <c r="G294"/>
      <c r="H294"/>
      <c r="I294"/>
      <c r="J294"/>
      <c r="K294"/>
      <c r="L294"/>
      <c r="M294"/>
      <c r="N294"/>
      <c r="O294"/>
      <c r="P294"/>
    </row>
  </sheetData>
  <dataConsolidate/>
  <mergeCells count="51">
    <mergeCell ref="F55:F56"/>
    <mergeCell ref="G55:G56"/>
    <mergeCell ref="H55:H56"/>
    <mergeCell ref="I55:I56"/>
    <mergeCell ref="A57:B57"/>
    <mergeCell ref="A55:A56"/>
    <mergeCell ref="B55:B56"/>
    <mergeCell ref="C55:C56"/>
    <mergeCell ref="D55:D56"/>
    <mergeCell ref="E55:E56"/>
    <mergeCell ref="F52:F53"/>
    <mergeCell ref="G52:G53"/>
    <mergeCell ref="H52:H53"/>
    <mergeCell ref="I52:I53"/>
    <mergeCell ref="A54:B54"/>
    <mergeCell ref="E52:E53"/>
    <mergeCell ref="A51:B51"/>
    <mergeCell ref="A52:A53"/>
    <mergeCell ref="B52:B53"/>
    <mergeCell ref="C52:C53"/>
    <mergeCell ref="D52:D53"/>
    <mergeCell ref="I49:I50"/>
    <mergeCell ref="A44:B44"/>
    <mergeCell ref="A46:A47"/>
    <mergeCell ref="A48:B48"/>
    <mergeCell ref="A49:A50"/>
    <mergeCell ref="B49:B50"/>
    <mergeCell ref="C49:C50"/>
    <mergeCell ref="D49:D50"/>
    <mergeCell ref="E49:E50"/>
    <mergeCell ref="F49:F50"/>
    <mergeCell ref="G49:G50"/>
    <mergeCell ref="H49:H50"/>
    <mergeCell ref="A42:A43"/>
    <mergeCell ref="M2:O2"/>
    <mergeCell ref="A5:A25"/>
    <mergeCell ref="A26:B26"/>
    <mergeCell ref="A28:A29"/>
    <mergeCell ref="A30:B30"/>
    <mergeCell ref="A32:B32"/>
    <mergeCell ref="K2:L2"/>
    <mergeCell ref="A34:A35"/>
    <mergeCell ref="B34:B35"/>
    <mergeCell ref="A36:B36"/>
    <mergeCell ref="A38:A39"/>
    <mergeCell ref="A40:B40"/>
    <mergeCell ref="B1:C1"/>
    <mergeCell ref="G1:H1"/>
    <mergeCell ref="B2:D2"/>
    <mergeCell ref="E2:F2"/>
    <mergeCell ref="G2:I2"/>
  </mergeCells>
  <conditionalFormatting sqref="H5:I41 M5:N41 M45:N57 H45:I48">
    <cfRule type="cellIs" dxfId="21" priority="19" operator="greaterThan">
      <formula>0.046</formula>
    </cfRule>
    <cfRule type="cellIs" dxfId="20" priority="20" operator="between">
      <formula>0</formula>
      <formula>0.045</formula>
    </cfRule>
    <cfRule type="cellIs" dxfId="19" priority="21" operator="lessThan">
      <formula>0</formula>
    </cfRule>
    <cfRule type="cellIs" dxfId="18" priority="22" operator="greaterThan">
      <formula>0.05</formula>
    </cfRule>
  </conditionalFormatting>
  <conditionalFormatting sqref="B2">
    <cfRule type="cellIs" dxfId="17" priority="18" operator="equal">
      <formula>"*"</formula>
    </cfRule>
  </conditionalFormatting>
  <conditionalFormatting sqref="F59">
    <cfRule type="expression" dxfId="16" priority="17">
      <formula>ABS($F$58-$F$59)&gt;0.01</formula>
    </cfRule>
  </conditionalFormatting>
  <conditionalFormatting sqref="G59">
    <cfRule type="expression" dxfId="15" priority="16">
      <formula>ABS($G$58-$G$59)&gt;0.01</formula>
    </cfRule>
  </conditionalFormatting>
  <conditionalFormatting sqref="H42:I42 M42:N42">
    <cfRule type="cellIs" dxfId="14" priority="12" operator="greaterThan">
      <formula>0.046</formula>
    </cfRule>
    <cfRule type="cellIs" dxfId="13" priority="13" operator="between">
      <formula>0</formula>
      <formula>0.045</formula>
    </cfRule>
    <cfRule type="cellIs" dxfId="12" priority="14" operator="lessThan">
      <formula>0</formula>
    </cfRule>
    <cfRule type="cellIs" dxfId="11" priority="15" operator="greaterThan">
      <formula>0.05</formula>
    </cfRule>
  </conditionalFormatting>
  <conditionalFormatting sqref="H43:I43 M43:N43">
    <cfRule type="cellIs" dxfId="10" priority="8" operator="greaterThan">
      <formula>0.046</formula>
    </cfRule>
    <cfRule type="cellIs" dxfId="9" priority="9" operator="between">
      <formula>0</formula>
      <formula>0.045</formula>
    </cfRule>
    <cfRule type="cellIs" dxfId="8" priority="10" operator="lessThan">
      <formula>0</formula>
    </cfRule>
    <cfRule type="cellIs" dxfId="7" priority="11" operator="greaterThan">
      <formula>0.05</formula>
    </cfRule>
  </conditionalFormatting>
  <conditionalFormatting sqref="H44:I44 M44:N44">
    <cfRule type="cellIs" dxfId="6" priority="4" operator="greaterThan">
      <formula>0.046</formula>
    </cfRule>
    <cfRule type="cellIs" dxfId="5" priority="5" operator="between">
      <formula>0</formula>
      <formula>0.045</formula>
    </cfRule>
    <cfRule type="cellIs" dxfId="4" priority="6" operator="lessThan">
      <formula>0</formula>
    </cfRule>
    <cfRule type="cellIs" dxfId="3" priority="7" operator="greaterThan">
      <formula>0.05</formula>
    </cfRule>
  </conditionalFormatting>
  <conditionalFormatting sqref="K59">
    <cfRule type="expression" dxfId="2" priority="3">
      <formula>ABS($F$58-$F$59)&gt;0.01</formula>
    </cfRule>
  </conditionalFormatting>
  <conditionalFormatting sqref="L59">
    <cfRule type="expression" dxfId="1" priority="2">
      <formula>ABS($G$58-$G$59)&gt;0.01</formula>
    </cfRule>
  </conditionalFormatting>
  <conditionalFormatting sqref="G1:H1">
    <cfRule type="expression" dxfId="0" priority="1">
      <formula>ABS($I$5-$I$3)&gt;0.01</formula>
    </cfRule>
  </conditionalFormatting>
  <pageMargins left="0.25" right="0.25" top="0.5" bottom="0.5" header="0.3" footer="0.3"/>
  <pageSetup scale="10" orientation="landscape" r:id="rId1"/>
  <drawing r:id="rId2"/>
  <legacyDrawing r:id="rId3"/>
  <extLst>
    <ext xmlns:x14="http://schemas.microsoft.com/office/spreadsheetml/2009/9/main" uri="{CCE6A557-97BC-4b89-ADB6-D9C93CAAB3DF}">
      <x14:dataValidations xmlns:xm="http://schemas.microsoft.com/office/excel/2006/main" count="2">
        <x14:dataValidation type="list" showInputMessage="1" showErrorMessage="1" promptTitle="JOB" xr:uid="{C310307D-D0B8-4212-A219-47FF0F44DB57}">
          <x14:formula1>
            <xm:f>Data!#REF!</xm:f>
          </x14:formula1>
          <xm:sqref>B6</xm:sqref>
        </x14:dataValidation>
        <x14:dataValidation type="list" showInputMessage="1" showErrorMessage="1" promptTitle="JOB" xr:uid="{BF69BE07-3BE0-4AEB-AFFC-C8259AA1DDC2}">
          <x14:formula1>
            <xm:f>Data!#REF!</xm:f>
          </x14:formula1>
          <xm:sqref>B3</xm:sqref>
        </x14:dataValidation>
      </x14:dataValidations>
    </ext>
  </extLst>
</worksheet>
</file>

<file path=xl/worksheets/sheet4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79BC7EFF-92C8-40D5-986C-D011EBD5389D}">
  <sheetPr codeName="Sheet2"/>
  <dimension ref="A1:AR6"/>
  <sheetViews>
    <sheetView zoomScaleNormal="100" workbookViewId="0">
      <selection activeCell="B3" sqref="B3"/>
    </sheetView>
  </sheetViews>
  <sheetFormatPr defaultColWidth="9.140625" defaultRowHeight="15" x14ac:dyDescent="0.25"/>
  <cols>
    <col min="1" max="1" width="10.5703125" customWidth="1"/>
    <col min="2" max="2" width="10.7109375" customWidth="1"/>
    <col min="3" max="3" width="11.140625" style="285" bestFit="1" customWidth="1"/>
    <col min="4" max="4" width="13.140625" customWidth="1"/>
    <col min="5" max="5" width="12.28515625" style="21" customWidth="1"/>
    <col min="6" max="6" width="14.85546875" customWidth="1"/>
    <col min="7" max="7" width="15.28515625" style="21" customWidth="1"/>
    <col min="8" max="8" width="18.85546875" style="21" customWidth="1"/>
    <col min="9" max="9" width="21.5703125" style="21" customWidth="1"/>
    <col min="10" max="10" width="15" style="21" customWidth="1"/>
    <col min="11" max="11" width="17.85546875" style="21" customWidth="1"/>
    <col min="12" max="12" width="10" style="23" bestFit="1" customWidth="1"/>
    <col min="13" max="13" width="15" customWidth="1"/>
    <col min="14" max="14" width="12.5703125" customWidth="1"/>
    <col min="15" max="15" width="16.5703125" bestFit="1" customWidth="1"/>
    <col min="16" max="18" width="10.42578125" customWidth="1"/>
    <col min="19" max="19" width="14" customWidth="1"/>
    <col min="20" max="20" width="18" customWidth="1"/>
    <col min="21" max="21" width="11.28515625" customWidth="1"/>
    <col min="22" max="25" width="10.42578125" customWidth="1"/>
    <col min="26" max="26" width="14.140625" customWidth="1"/>
    <col min="27" max="27" width="14.28515625" bestFit="1" customWidth="1"/>
    <col min="28" max="33" width="10.42578125" customWidth="1"/>
    <col min="34" max="34" width="12.5703125" bestFit="1" customWidth="1"/>
    <col min="35" max="40" width="10.42578125" customWidth="1"/>
    <col min="41" max="41" width="15.85546875" bestFit="1" customWidth="1"/>
    <col min="42" max="46" width="10.42578125" customWidth="1"/>
  </cols>
  <sheetData>
    <row r="1" spans="1:44" ht="18" customHeight="1" x14ac:dyDescent="0.25">
      <c r="A1" t="s">
        <v>46</v>
      </c>
      <c r="B1" t="s">
        <v>42</v>
      </c>
      <c r="C1" t="s">
        <v>43</v>
      </c>
      <c r="D1" t="s">
        <v>47</v>
      </c>
      <c r="E1" t="s">
        <v>48</v>
      </c>
      <c r="F1" t="s">
        <v>49</v>
      </c>
      <c r="G1" t="s">
        <v>50</v>
      </c>
      <c r="H1" t="s">
        <v>51</v>
      </c>
      <c r="I1" t="s">
        <v>34</v>
      </c>
      <c r="J1" t="s">
        <v>52</v>
      </c>
      <c r="K1" t="s">
        <v>53</v>
      </c>
      <c r="L1" t="s">
        <v>54</v>
      </c>
      <c r="M1" t="s">
        <v>55</v>
      </c>
      <c r="N1" t="s">
        <v>56</v>
      </c>
      <c r="O1" t="s">
        <v>57</v>
      </c>
      <c r="P1" t="s">
        <v>73</v>
      </c>
      <c r="Q1" t="s">
        <v>58</v>
      </c>
      <c r="R1" t="s">
        <v>59</v>
      </c>
      <c r="S1" t="s">
        <v>60</v>
      </c>
      <c r="T1" t="s">
        <v>61</v>
      </c>
      <c r="U1" t="s">
        <v>62</v>
      </c>
      <c r="V1" t="s">
        <v>63</v>
      </c>
      <c r="W1" t="s">
        <v>64</v>
      </c>
      <c r="X1" t="s">
        <v>65</v>
      </c>
      <c r="Y1" t="s">
        <v>66</v>
      </c>
      <c r="Z1" t="s">
        <v>67</v>
      </c>
      <c r="AA1" t="s">
        <v>68</v>
      </c>
      <c r="AB1" t="s">
        <v>69</v>
      </c>
      <c r="AC1" t="s">
        <v>22</v>
      </c>
      <c r="AD1" t="s">
        <v>23</v>
      </c>
      <c r="AE1" t="s">
        <v>70</v>
      </c>
      <c r="AF1" t="s">
        <v>71</v>
      </c>
      <c r="AG1" t="s">
        <v>72</v>
      </c>
      <c r="AH1" t="s">
        <v>74</v>
      </c>
      <c r="AI1" t="s">
        <v>75</v>
      </c>
      <c r="AJ1" t="s">
        <v>76</v>
      </c>
      <c r="AK1" t="s">
        <v>77</v>
      </c>
      <c r="AL1" t="s">
        <v>78</v>
      </c>
      <c r="AM1" t="s">
        <v>79</v>
      </c>
      <c r="AN1" t="s">
        <v>80</v>
      </c>
      <c r="AO1" t="s">
        <v>81</v>
      </c>
      <c r="AP1" t="s">
        <v>82</v>
      </c>
      <c r="AQ1" t="s">
        <v>83</v>
      </c>
      <c r="AR1" t="s">
        <v>84</v>
      </c>
    </row>
    <row r="2" spans="1:44" x14ac:dyDescent="0.25">
      <c r="A2">
        <v>56213200</v>
      </c>
      <c r="B2">
        <v>184</v>
      </c>
      <c r="C2" s="285">
        <v>0</v>
      </c>
      <c r="D2">
        <v>184</v>
      </c>
      <c r="E2" s="21">
        <v>4720.32</v>
      </c>
      <c r="F2">
        <v>0</v>
      </c>
      <c r="G2" s="21">
        <v>0</v>
      </c>
      <c r="H2" s="21">
        <v>0</v>
      </c>
      <c r="I2" s="21">
        <v>0</v>
      </c>
      <c r="J2" s="21">
        <v>0</v>
      </c>
      <c r="K2" s="21">
        <v>0</v>
      </c>
      <c r="L2" s="24">
        <v>0</v>
      </c>
      <c r="M2" s="21">
        <v>0</v>
      </c>
      <c r="N2" s="21">
        <v>0</v>
      </c>
      <c r="O2" s="21">
        <v>0</v>
      </c>
      <c r="P2">
        <v>0</v>
      </c>
      <c r="Q2">
        <v>0</v>
      </c>
      <c r="R2">
        <v>0</v>
      </c>
      <c r="S2">
        <v>0</v>
      </c>
      <c r="T2">
        <v>0</v>
      </c>
      <c r="U2">
        <v>0</v>
      </c>
      <c r="V2">
        <v>0</v>
      </c>
      <c r="W2">
        <v>0</v>
      </c>
      <c r="X2">
        <v>0</v>
      </c>
      <c r="Y2">
        <v>0</v>
      </c>
      <c r="Z2">
        <v>0</v>
      </c>
      <c r="AA2">
        <v>0</v>
      </c>
      <c r="AB2">
        <v>0</v>
      </c>
      <c r="AC2">
        <v>0</v>
      </c>
      <c r="AD2">
        <v>0</v>
      </c>
      <c r="AE2">
        <v>0</v>
      </c>
      <c r="AF2">
        <v>0</v>
      </c>
      <c r="AG2">
        <v>0</v>
      </c>
      <c r="AH2">
        <v>0</v>
      </c>
      <c r="AI2">
        <v>0</v>
      </c>
      <c r="AJ2">
        <v>0</v>
      </c>
      <c r="AK2">
        <v>0</v>
      </c>
      <c r="AL2">
        <v>0</v>
      </c>
      <c r="AM2">
        <v>0</v>
      </c>
      <c r="AN2">
        <v>0</v>
      </c>
      <c r="AO2">
        <v>0</v>
      </c>
      <c r="AP2">
        <v>0</v>
      </c>
      <c r="AQ2">
        <v>0</v>
      </c>
      <c r="AR2">
        <v>0</v>
      </c>
    </row>
    <row r="3" spans="1:44" x14ac:dyDescent="0.25">
      <c r="A3">
        <v>56403200</v>
      </c>
      <c r="B3">
        <v>1797</v>
      </c>
      <c r="C3" s="285">
        <v>593</v>
      </c>
      <c r="D3">
        <v>2390</v>
      </c>
      <c r="E3" s="21">
        <v>110726.3</v>
      </c>
      <c r="F3">
        <v>1</v>
      </c>
      <c r="G3" s="21">
        <v>50</v>
      </c>
      <c r="H3" s="21">
        <v>0</v>
      </c>
      <c r="I3" s="21">
        <v>30</v>
      </c>
      <c r="J3" s="21">
        <v>0</v>
      </c>
      <c r="K3" s="21">
        <v>480</v>
      </c>
      <c r="L3" s="24">
        <v>0</v>
      </c>
      <c r="M3" s="21">
        <v>0</v>
      </c>
      <c r="N3" s="21">
        <v>0</v>
      </c>
      <c r="O3" s="21">
        <v>0</v>
      </c>
      <c r="P3">
        <v>0</v>
      </c>
      <c r="Q3">
        <v>7.65</v>
      </c>
      <c r="R3">
        <v>0.6</v>
      </c>
      <c r="S3">
        <v>6.88</v>
      </c>
      <c r="T3">
        <v>9.1</v>
      </c>
      <c r="U3">
        <v>1.26</v>
      </c>
      <c r="V3">
        <v>0.93</v>
      </c>
      <c r="W3">
        <v>0.09</v>
      </c>
      <c r="X3">
        <v>3.5</v>
      </c>
      <c r="Y3">
        <v>1</v>
      </c>
      <c r="Z3">
        <v>0.5</v>
      </c>
      <c r="AA3">
        <v>0.5</v>
      </c>
      <c r="AB3">
        <v>1</v>
      </c>
      <c r="AC3">
        <v>8</v>
      </c>
      <c r="AD3">
        <v>6</v>
      </c>
      <c r="AE3">
        <v>7.65</v>
      </c>
      <c r="AF3">
        <v>0.6</v>
      </c>
      <c r="AG3">
        <v>6.88</v>
      </c>
      <c r="AH3">
        <v>9.1</v>
      </c>
      <c r="AI3">
        <v>1.26</v>
      </c>
      <c r="AJ3">
        <v>0.93</v>
      </c>
      <c r="AK3">
        <v>0.09</v>
      </c>
      <c r="AL3">
        <v>3.5</v>
      </c>
      <c r="AM3">
        <v>1</v>
      </c>
      <c r="AN3">
        <v>0.5</v>
      </c>
      <c r="AO3">
        <v>0.5</v>
      </c>
      <c r="AP3">
        <v>1</v>
      </c>
      <c r="AQ3">
        <v>8</v>
      </c>
      <c r="AR3">
        <v>6</v>
      </c>
    </row>
    <row r="4" spans="1:44" x14ac:dyDescent="0.25">
      <c r="A4">
        <v>56403300</v>
      </c>
      <c r="B4">
        <v>1504</v>
      </c>
      <c r="C4" s="285">
        <v>518</v>
      </c>
      <c r="D4">
        <v>2022</v>
      </c>
      <c r="E4" s="21">
        <v>93701.08</v>
      </c>
      <c r="F4">
        <v>0</v>
      </c>
      <c r="G4" s="21">
        <v>327.5</v>
      </c>
      <c r="H4" s="21">
        <v>0</v>
      </c>
      <c r="I4" s="21">
        <v>0</v>
      </c>
      <c r="J4" s="21">
        <v>0</v>
      </c>
      <c r="K4" s="21">
        <v>0</v>
      </c>
      <c r="L4" s="24">
        <v>0</v>
      </c>
      <c r="M4" s="21">
        <v>0</v>
      </c>
      <c r="N4" s="21">
        <v>0</v>
      </c>
      <c r="O4" s="21">
        <v>0</v>
      </c>
      <c r="P4">
        <v>0</v>
      </c>
      <c r="Q4">
        <v>0</v>
      </c>
      <c r="R4">
        <v>0</v>
      </c>
      <c r="S4">
        <v>0</v>
      </c>
      <c r="T4">
        <v>0</v>
      </c>
      <c r="U4">
        <v>0</v>
      </c>
      <c r="V4">
        <v>0</v>
      </c>
      <c r="W4">
        <v>0</v>
      </c>
      <c r="X4">
        <v>0</v>
      </c>
      <c r="Y4">
        <v>0</v>
      </c>
      <c r="Z4">
        <v>0</v>
      </c>
      <c r="AA4">
        <v>0</v>
      </c>
      <c r="AB4">
        <v>0</v>
      </c>
      <c r="AC4">
        <v>0</v>
      </c>
      <c r="AD4">
        <v>0</v>
      </c>
      <c r="AE4">
        <v>0</v>
      </c>
      <c r="AF4">
        <v>0</v>
      </c>
      <c r="AG4">
        <v>0</v>
      </c>
      <c r="AH4">
        <v>0</v>
      </c>
      <c r="AI4">
        <v>0</v>
      </c>
      <c r="AJ4">
        <v>0</v>
      </c>
      <c r="AK4">
        <v>0</v>
      </c>
      <c r="AL4">
        <v>0</v>
      </c>
      <c r="AM4">
        <v>0</v>
      </c>
      <c r="AN4">
        <v>0</v>
      </c>
      <c r="AO4">
        <v>0</v>
      </c>
      <c r="AP4">
        <v>0</v>
      </c>
      <c r="AQ4">
        <v>0</v>
      </c>
      <c r="AR4">
        <v>0</v>
      </c>
    </row>
    <row r="5" spans="1:44" x14ac:dyDescent="0.25">
      <c r="A5">
        <v>56403600</v>
      </c>
      <c r="B5">
        <v>0</v>
      </c>
      <c r="C5" s="285">
        <v>48</v>
      </c>
      <c r="D5">
        <v>48</v>
      </c>
      <c r="E5" s="21">
        <v>2100.96</v>
      </c>
      <c r="F5">
        <v>0</v>
      </c>
      <c r="G5" s="21">
        <v>0</v>
      </c>
      <c r="H5" s="21">
        <v>0</v>
      </c>
      <c r="I5" s="21">
        <v>0</v>
      </c>
      <c r="J5" s="21">
        <v>0</v>
      </c>
      <c r="K5" s="21">
        <v>0</v>
      </c>
      <c r="L5" s="24">
        <v>0</v>
      </c>
      <c r="M5" s="21">
        <v>0</v>
      </c>
      <c r="N5" s="21">
        <v>0</v>
      </c>
      <c r="O5" s="21">
        <v>0</v>
      </c>
      <c r="P5">
        <v>0</v>
      </c>
      <c r="Q5">
        <v>0</v>
      </c>
      <c r="R5">
        <v>0</v>
      </c>
      <c r="S5">
        <v>0</v>
      </c>
      <c r="T5">
        <v>0</v>
      </c>
      <c r="U5">
        <v>0</v>
      </c>
      <c r="V5">
        <v>0</v>
      </c>
      <c r="W5">
        <v>0</v>
      </c>
      <c r="X5">
        <v>0</v>
      </c>
      <c r="Y5">
        <v>0</v>
      </c>
      <c r="Z5">
        <v>0</v>
      </c>
      <c r="AA5">
        <v>0</v>
      </c>
      <c r="AB5">
        <v>0</v>
      </c>
      <c r="AC5">
        <v>0</v>
      </c>
      <c r="AD5">
        <v>0</v>
      </c>
      <c r="AE5">
        <v>0</v>
      </c>
      <c r="AF5">
        <v>0</v>
      </c>
      <c r="AG5">
        <v>0</v>
      </c>
      <c r="AH5">
        <v>0</v>
      </c>
      <c r="AI5">
        <v>0</v>
      </c>
      <c r="AJ5">
        <v>0</v>
      </c>
      <c r="AK5">
        <v>0</v>
      </c>
      <c r="AL5">
        <v>0</v>
      </c>
      <c r="AM5">
        <v>0</v>
      </c>
      <c r="AN5">
        <v>0</v>
      </c>
      <c r="AO5">
        <v>0</v>
      </c>
      <c r="AP5">
        <v>0</v>
      </c>
      <c r="AQ5">
        <v>0</v>
      </c>
      <c r="AR5">
        <v>0</v>
      </c>
    </row>
    <row r="6" spans="1:44" x14ac:dyDescent="0.25">
      <c r="A6">
        <v>56500300</v>
      </c>
      <c r="B6">
        <v>0</v>
      </c>
      <c r="C6" s="285">
        <v>30</v>
      </c>
      <c r="D6">
        <v>30</v>
      </c>
      <c r="E6" s="21">
        <v>1764.42</v>
      </c>
      <c r="F6">
        <v>0</v>
      </c>
      <c r="G6" s="21">
        <v>0</v>
      </c>
      <c r="H6" s="21">
        <v>0</v>
      </c>
      <c r="I6" s="21">
        <v>0</v>
      </c>
      <c r="J6" s="21">
        <v>0</v>
      </c>
      <c r="K6" s="21">
        <v>0</v>
      </c>
      <c r="L6" s="482">
        <v>0</v>
      </c>
      <c r="M6" s="21">
        <v>0</v>
      </c>
      <c r="N6" s="21">
        <v>0</v>
      </c>
      <c r="O6" s="21">
        <v>0</v>
      </c>
      <c r="P6">
        <v>0</v>
      </c>
      <c r="Q6">
        <v>0</v>
      </c>
      <c r="R6">
        <v>0</v>
      </c>
      <c r="S6">
        <v>0</v>
      </c>
      <c r="T6">
        <v>0</v>
      </c>
      <c r="U6">
        <v>0</v>
      </c>
      <c r="V6">
        <v>0</v>
      </c>
      <c r="W6">
        <v>0</v>
      </c>
      <c r="X6">
        <v>0</v>
      </c>
      <c r="Y6">
        <v>0</v>
      </c>
      <c r="Z6">
        <v>0</v>
      </c>
      <c r="AA6">
        <v>0</v>
      </c>
      <c r="AB6">
        <v>0</v>
      </c>
      <c r="AC6">
        <v>0</v>
      </c>
      <c r="AD6">
        <v>0</v>
      </c>
      <c r="AE6">
        <v>0</v>
      </c>
      <c r="AF6">
        <v>0</v>
      </c>
      <c r="AG6">
        <v>0</v>
      </c>
      <c r="AH6">
        <v>0</v>
      </c>
      <c r="AI6">
        <v>0</v>
      </c>
      <c r="AJ6">
        <v>0</v>
      </c>
      <c r="AK6">
        <v>0</v>
      </c>
      <c r="AL6">
        <v>0</v>
      </c>
      <c r="AM6">
        <v>0</v>
      </c>
      <c r="AN6">
        <v>0</v>
      </c>
      <c r="AO6">
        <v>0</v>
      </c>
      <c r="AP6">
        <v>0</v>
      </c>
      <c r="AQ6">
        <v>0</v>
      </c>
      <c r="AR6">
        <v>0</v>
      </c>
    </row>
  </sheetData>
  <dataConsolidate/>
  <phoneticPr fontId="52" type="noConversion"/>
  <pageMargins left="0.7" right="0.7" top="0.75" bottom="0.75" header="0.3" footer="0.3"/>
  <pageSetup orientation="portrait" r:id="rId1"/>
  <tableParts count="1">
    <tablePart r:id="rId2"/>
  </tableParts>
  <extLst>
    <ext xmlns:x14="http://schemas.microsoft.com/office/spreadsheetml/2009/9/main" uri="{CCE6A557-97BC-4b89-ADB6-D9C93CAAB3DF}">
      <x14:dataValidations xmlns:xm="http://schemas.microsoft.com/office/excel/2006/main" count="1">
        <x14:dataValidation type="list" showInputMessage="1" showErrorMessage="1" promptTitle="JOB" xr:uid="{236FA793-ACC1-4E33-84E5-0C8343E9B75A}">
          <x14:formula1>
            <xm:f>Data!#REF!</xm:f>
          </x14:formula1>
          <xm:sqref>B3</xm:sqref>
        </x14:dataValidation>
      </x14:dataValidations>
    </ext>
  </extLst>
</worksheet>
</file>

<file path=xl/worksheets/sheet5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6260C050-C185-494A-8A7B-F8B74CC86E5C}">
  <sheetPr codeName="Hoja3"/>
  <dimension ref="A1:G11"/>
  <sheetViews>
    <sheetView workbookViewId="0">
      <selection activeCell="D8" sqref="D8"/>
    </sheetView>
  </sheetViews>
  <sheetFormatPr defaultColWidth="11.42578125" defaultRowHeight="15" x14ac:dyDescent="0.25"/>
  <cols>
    <col min="1" max="1" width="11.42578125" customWidth="1"/>
    <col min="3" max="3" width="16.42578125" customWidth="1"/>
    <col min="4" max="4" width="13.28515625" customWidth="1"/>
    <col min="5" max="5" width="11.42578125" style="397"/>
    <col min="6" max="6" width="11.42578125" style="392"/>
    <col min="7" max="7" width="19.28515625" customWidth="1"/>
  </cols>
  <sheetData>
    <row r="1" spans="1:7" x14ac:dyDescent="0.25">
      <c r="A1" t="s">
        <v>46</v>
      </c>
      <c r="B1" t="s">
        <v>99</v>
      </c>
      <c r="C1" t="s">
        <v>100</v>
      </c>
      <c r="D1" t="s">
        <v>101</v>
      </c>
      <c r="E1" t="s">
        <v>102</v>
      </c>
      <c r="F1" t="s">
        <v>103</v>
      </c>
      <c r="G1" t="s">
        <v>107</v>
      </c>
    </row>
    <row r="2" spans="1:7" x14ac:dyDescent="0.25">
      <c r="A2">
        <v>56403300</v>
      </c>
      <c r="B2" t="s">
        <v>91</v>
      </c>
      <c r="C2" t="s">
        <v>92</v>
      </c>
      <c r="D2" t="s">
        <v>92</v>
      </c>
      <c r="E2" s="397">
        <v>91</v>
      </c>
      <c r="F2" s="392" t="s">
        <v>104</v>
      </c>
      <c r="G2" t="s">
        <v>50</v>
      </c>
    </row>
    <row r="3" spans="1:7" x14ac:dyDescent="0.25">
      <c r="A3">
        <v>56403200</v>
      </c>
      <c r="B3" t="s">
        <v>93</v>
      </c>
      <c r="C3" t="s">
        <v>94</v>
      </c>
      <c r="D3" t="s">
        <v>95</v>
      </c>
      <c r="E3" s="397">
        <v>50</v>
      </c>
      <c r="F3" s="392" t="s">
        <v>105</v>
      </c>
      <c r="G3" t="s">
        <v>50</v>
      </c>
    </row>
    <row r="4" spans="1:7" x14ac:dyDescent="0.25">
      <c r="A4">
        <v>56403200</v>
      </c>
      <c r="B4" t="s">
        <v>96</v>
      </c>
      <c r="C4" t="s">
        <v>97</v>
      </c>
      <c r="D4" t="s">
        <v>95</v>
      </c>
      <c r="E4" s="397">
        <v>80</v>
      </c>
      <c r="F4" s="392" t="s">
        <v>105</v>
      </c>
      <c r="G4" t="s">
        <v>53</v>
      </c>
    </row>
    <row r="5" spans="1:7" x14ac:dyDescent="0.25">
      <c r="A5">
        <v>56403200</v>
      </c>
      <c r="B5" t="s">
        <v>98</v>
      </c>
      <c r="C5" t="s">
        <v>34</v>
      </c>
      <c r="D5" t="s">
        <v>95</v>
      </c>
      <c r="E5" s="397">
        <v>30</v>
      </c>
      <c r="F5" s="392" t="s">
        <v>106</v>
      </c>
      <c r="G5" t="s">
        <v>51</v>
      </c>
    </row>
    <row r="6" spans="1:7" x14ac:dyDescent="0.25">
      <c r="A6">
        <v>56403200</v>
      </c>
      <c r="B6" t="s">
        <v>96</v>
      </c>
      <c r="C6" t="s">
        <v>97</v>
      </c>
      <c r="D6" t="s">
        <v>95</v>
      </c>
      <c r="E6" s="397">
        <v>400</v>
      </c>
      <c r="F6" s="392" t="s">
        <v>106</v>
      </c>
      <c r="G6" t="s">
        <v>53</v>
      </c>
    </row>
    <row r="7" spans="1:7" x14ac:dyDescent="0.25">
      <c r="A7">
        <v>56403300</v>
      </c>
      <c r="B7" t="s">
        <v>93</v>
      </c>
      <c r="C7" t="s">
        <v>94</v>
      </c>
      <c r="D7" t="s">
        <v>95</v>
      </c>
      <c r="E7" s="397">
        <v>100</v>
      </c>
      <c r="F7" s="392" t="s">
        <v>109</v>
      </c>
      <c r="G7" t="s">
        <v>50</v>
      </c>
    </row>
    <row r="8" spans="1:7" x14ac:dyDescent="0.25">
      <c r="A8">
        <v>56403300</v>
      </c>
      <c r="B8" t="s">
        <v>91</v>
      </c>
      <c r="C8" t="s">
        <v>92</v>
      </c>
      <c r="D8" t="s">
        <v>110</v>
      </c>
      <c r="E8" s="397">
        <v>45.5</v>
      </c>
      <c r="F8" s="392" t="s">
        <v>111</v>
      </c>
      <c r="G8" t="s">
        <v>50</v>
      </c>
    </row>
    <row r="9" spans="1:7" x14ac:dyDescent="0.25">
      <c r="A9">
        <v>56403300</v>
      </c>
      <c r="B9" t="s">
        <v>91</v>
      </c>
      <c r="C9" t="s">
        <v>92</v>
      </c>
      <c r="D9" t="s">
        <v>112</v>
      </c>
      <c r="E9" s="397">
        <v>45.5</v>
      </c>
      <c r="F9" s="392" t="s">
        <v>113</v>
      </c>
      <c r="G9" t="s">
        <v>50</v>
      </c>
    </row>
    <row r="10" spans="1:7" x14ac:dyDescent="0.25">
      <c r="A10">
        <v>56403300</v>
      </c>
      <c r="B10" t="s">
        <v>91</v>
      </c>
      <c r="C10" t="s">
        <v>92</v>
      </c>
      <c r="D10" t="s">
        <v>114</v>
      </c>
      <c r="E10" s="397">
        <v>45.5</v>
      </c>
      <c r="F10" s="392" t="s">
        <v>115</v>
      </c>
      <c r="G10" t="s">
        <v>50</v>
      </c>
    </row>
    <row r="11" spans="1:7" x14ac:dyDescent="0.25">
      <c r="A11">
        <v>56403200</v>
      </c>
      <c r="B11" t="s">
        <v>98</v>
      </c>
      <c r="C11" t="s">
        <v>34</v>
      </c>
      <c r="D11" t="s">
        <v>95</v>
      </c>
      <c r="E11" s="397">
        <v>100</v>
      </c>
      <c r="F11" s="392" t="s">
        <v>116</v>
      </c>
      <c r="G11" t="s">
        <v>51</v>
      </c>
    </row>
  </sheetData>
  <phoneticPr fontId="52" type="noConversion"/>
  <pageMargins left="0.7" right="0.7" top="0.75" bottom="0.75" header="0.3" footer="0.3"/>
  <pageSetup orientation="portrait" r:id="rId1"/>
  <tableParts count="1">
    <tablePart r:id="rId2"/>
  </tableParts>
</worksheet>
</file>

<file path=docProps/app.xml><?xml version="1.0" encoding="utf-8"?>
<Properties xmlns="http://schemas.openxmlformats.org/officeDocument/2006/extended-properties" xmlns:vt="http://schemas.openxmlformats.org/officeDocument/2006/docPropsVTypes">
  <Application>Microsoft Excel</Application>
  <DocSecurity>0</DocSecurity>
  <ScaleCrop>false</ScaleCrop>
  <HeadingPairs>
    <vt:vector size="4" baseType="variant">
      <vt:variant>
        <vt:lpstr>Worksheets</vt:lpstr>
      </vt:variant>
      <vt:variant>
        <vt:i4>5</vt:i4>
      </vt:variant>
      <vt:variant>
        <vt:lpstr>Named Ranges</vt:lpstr>
      </vt:variant>
      <vt:variant>
        <vt:i4>2</vt:i4>
      </vt:variant>
    </vt:vector>
  </HeadingPairs>
  <TitlesOfParts>
    <vt:vector size="7" baseType="lpstr">
      <vt:lpstr>JCD</vt:lpstr>
      <vt:lpstr>Data</vt:lpstr>
      <vt:lpstr>JCD Y</vt:lpstr>
      <vt:lpstr>Data Y</vt:lpstr>
      <vt:lpstr>MaterialUsed</vt:lpstr>
      <vt:lpstr>JCD!Print_Area</vt:lpstr>
      <vt:lpstr>'JCD Y'!Print_Area</vt:lpstr>
    </vt:vector>
  </TitlesOfParts>
  <Company/>
  <LinksUpToDate>false</LinksUpToDate>
  <SharedDoc>false</SharedDoc>
  <HyperlinksChanged>false</HyperlinksChanged>
  <AppVersion>16.0300</AppVersion>
</Properties>
</file>

<file path=docProps/core.xml><?xml version="1.0" encoding="utf-8"?>
<cp:coreProperties xmlns:cp="http://schemas.openxmlformats.org/package/2006/metadata/core-properties" xmlns:dc="http://purl.org/dc/elements/1.1/" xmlns:dcterms="http://purl.org/dc/terms/" xmlns:dcmitype="http://purl.org/dc/dcmitype/" xmlns:xsi="http://www.w3.org/2001/XMLSchema-instance">
  <dc:creator>AVR</dc:creator>
  <cp:lastModifiedBy>isaac</cp:lastModifiedBy>
  <dcterms:created xsi:type="dcterms:W3CDTF">2022-07-20T02:08:01Z</dcterms:created>
  <dcterms:modified xsi:type="dcterms:W3CDTF">2022-10-24T23:41:01Z</dcterms:modified>
</cp:coreProperties>
</file>