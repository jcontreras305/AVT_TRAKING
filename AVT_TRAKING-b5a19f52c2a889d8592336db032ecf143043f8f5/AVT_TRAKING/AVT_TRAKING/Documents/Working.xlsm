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2\AVT_TRAKING-b5a19f52c2a889d8592336db032ecf143043f8f5\AVT_TRAKING\AVT_TRAKING\Documents\"/>
    </mc:Choice>
  </mc:AlternateContent>
  <xr:revisionPtr revIDLastSave="0" documentId="13_ncr:1_{8202C727-A91A-424B-8537-CE4BB29100C2}" xr6:coauthVersionLast="47" xr6:coauthVersionMax="47" xr10:uidLastSave="{00000000-0000-0000-0000-000000000000}"/>
  <bookViews>
    <workbookView xWindow="-120" yWindow="-120" windowWidth="20730" windowHeight="11280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MaterialUsed" sheetId="14" r:id="rId5"/>
  </sheets>
  <functionGroups builtInGroupCount="19"/>
  <definedNames>
    <definedName name="_xlnm.Print_Area" localSheetId="0">JCD!$A$1:$P$138</definedName>
    <definedName name="_xlnm.Print_Area" localSheetId="2">'JCD Y'!$A$1:$P$138</definedName>
    <definedName name="davesDMN">#REF!</definedName>
    <definedName name="Departments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F57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F55" i="11"/>
  <c r="F57" i="11" s="1"/>
  <c r="F49" i="11"/>
  <c r="F28" i="1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H46" i="11"/>
  <c r="F51" i="11"/>
  <c r="H28" i="11"/>
  <c r="I28" i="11" s="1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C26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D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K40" i="11" l="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<sst xmlns="http://schemas.openxmlformats.org/spreadsheetml/2006/main" count="287" uniqueCount="109">
  <si>
    <t>Actual Base Wage Rate</t>
  </si>
  <si>
    <t>YTD Labor Hours</t>
  </si>
  <si>
    <t>Bill Rate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</si>
  <si>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</si>
  <si>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</si>
  <si>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</si>
  <si>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</si>
  <si>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</si>
  <si>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</si>
  <si>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</si>
  <si>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</si>
  <si>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</si>
  <si>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</si>
  <si>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</si>
  <si>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</si>
  <si>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</si>
  <si>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</si>
  <si>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</si>
  <si>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</si>
  <si>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</si>
  <si>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</si>
  <si>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</si>
  <si>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</si>
  <si>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</si>
  <si>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</si>
  <si>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</si>
  <si>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</si>
  <si>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</si>
  <si>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</si>
  <si>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</si>
  <si>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</si>
  <si>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</si>
  <si>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</si>
  <si>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</si>
  <si>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</si>
  <si>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</si>
  <si>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</si>
  <si>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</si>
  <si>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</si>
  <si>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</si>
  <si>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</si>
  <si>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</si>
  <si>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</si>
  <si>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</si>
  <si>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</si>
  <si>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</si>
  <si>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</si>
  <si>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</si>
  <si>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</si>
  <si>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</si>
  <si>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</si>
  <si>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</si>
  <si>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</si>
  <si>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</si>
  <si>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</si>
  <si>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</si>
  <si>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</si>
  <si>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</si>
  <si>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</si>
  <si>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</si>
  <si>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</si>
  <si>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</si>
  <si>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</si>
  <si>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</si>
  <si>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</si>
  <si>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</si>
  <si>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</si>
  <si>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</si>
  <si>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</si>
  <si>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</si>
  <si>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</si>
  <si>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</si>
  <si>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</si>
  <si>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</si>
  <si>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</si>
  <si>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</si>
  <si>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</si>
  <si>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</si>
  <si>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</si>
  <si>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</si>
  <si>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</si>
  <si>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</si>
  <si>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</si>
  <si>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</si>
  <si>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</si>
  <si>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</si>
  <si>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</si>
  <si>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</si>
  <si>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</si>
  <si>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</si>
  <si>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enero - diciembre</t>
  </si>
  <si>
    <t>2.252-D</t>
  </si>
  <si>
    <t>Truck</t>
  </si>
  <si>
    <t>2.201-D</t>
  </si>
  <si>
    <t>Yoyos</t>
  </si>
  <si>
    <t>test</t>
  </si>
  <si>
    <t>2.500-M</t>
  </si>
  <si>
    <t>Insulation</t>
  </si>
  <si>
    <t>2.254-E</t>
  </si>
  <si>
    <t>Code</t>
  </si>
  <si>
    <t>Material Name</t>
  </si>
  <si>
    <t>Description</t>
  </si>
  <si>
    <t>Cost</t>
  </si>
  <si>
    <t>Date</t>
  </si>
  <si>
    <t>02/02/2022</t>
  </si>
  <si>
    <t>02/10/2022</t>
  </si>
  <si>
    <t>02/25/2022</t>
  </si>
  <si>
    <t>Type Material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</si>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</sst>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"/>
    <numFmt numFmtId="174" formatCode="_(* #,##0.0_);_(* \(#,##0.0\);_(* &quot;-&quot;??_);_(@_)"/>
    <numFmt numFmtId="175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2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3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  <protection hidden="1"/>
    </xf>
    <xf numFmtId="174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5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0" fillId="0" borderId="0" xfId="2" applyFont="1"/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67">
    <dxf>
      <numFmt numFmtId="175" formatCode="m/d/yyyy;@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la dinámica 1" table="0" count="0" xr9:uid="{CCB3E0C9-CD1F-446C-B527-608C02090815}"/>
  </tableStyles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Q6" totalsRowShown="0">
  <autoFilter ref="A1:AQ6" xr:uid="{C4085354-9A31-4841-9D3F-0557A0CAEFA4}"/>
  <tableColumns count="43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44"/>
    <tableColumn id="4" xr3:uid="{194B0742-9035-4269-B161-25195EB3E0B3}" name="Total Hours"/>
    <tableColumn id="5" xr3:uid="{E653B1DE-646C-405B-B655-FDB9CC09C01C}" name="Labor Cost" dataDxfId="43"/>
    <tableColumn id="6" xr3:uid="{CEF9ED9A-AE1B-4261-9368-A50ACEB10909}" name="Scaffold-ADD"/>
    <tableColumn id="7" xr3:uid="{D08D08AE-E628-4D0B-9CCA-12D93A07D90E}" name="3rd Party Cost" dataDxfId="42"/>
    <tableColumn id="8" xr3:uid="{1D12CB81-F7A1-4443-9918-DF6A76532B27}" name="In House Vehicles" dataDxfId="41"/>
    <tableColumn id="9" xr3:uid="{65A6BF84-CB48-4513-BD5E-90CADB842B4C}" name="Company Equipment" dataDxfId="40"/>
    <tableColumn id="10" xr3:uid="{F0550329-4420-4C5D-A759-E4378EEFA4B9}" name="Material Cost" dataDxfId="39"/>
    <tableColumn id="11" xr3:uid="{CDE068DB-BC7C-41ED-9FE7-81D518BA2213}" name="Subcontract Cost" dataDxfId="38"/>
    <tableColumn id="12" xr3:uid="{0C9D88FC-D4DF-4281-BFB2-6CC3295F9A46}" name="Tools" dataDxfId="37" dataCellStyle="Porcentaje"/>
    <tableColumn id="13" xr3:uid="{04D734D8-01EB-4D99-A11E-3106D37E1FA3}" name="Consumables" dataDxfId="36"/>
    <tableColumn id="14" xr3:uid="{5B9EB4F5-E323-4C86-984E-AAF2F4C4AB63}" name="Other Cost" dataDxfId="35"/>
    <tableColumn id="15" xr3:uid="{068B9F28-39D0-4F1E-9618-28FD3320AE50}" name="Other Revanue" dataDxfId="34"/>
    <tableColumn id="16" xr3:uid="{0AC060B6-C457-4A5A-8891-AAABBB08A494}" name="FICA"/>
    <tableColumn id="17" xr3:uid="{98C98F59-C39A-4CA4-8C20-D370B24AF4B1}" name="FUI"/>
    <tableColumn id="18" xr3:uid="{6C3A9A41-B180-493C-A613-AF79100BCD76}" name="SUI"/>
    <tableColumn id="19" xr3:uid="{72AA16C8-E7BD-4470-8BB6-ACBD272424EB}" name="WC"/>
    <tableColumn id="20" xr3:uid="{BE7F1AB4-CD70-4208-9EEF-383BAD12164F}" name="Gen Liab"/>
    <tableColumn id="21" xr3:uid="{A7EFE5C6-8B8A-45EC-97F6-CA5C87FD5013}" name="Umbr"/>
    <tableColumn id="22" xr3:uid="{A7971802-5AF5-4417-B624-A9DE60CCE7E6}" name="Pollution"/>
    <tableColumn id="23" xr3:uid="{3C830360-D346-4626-AE1D-923C3296DF2A}" name="Healt"/>
    <tableColumn id="24" xr3:uid="{463D522D-996A-4152-86C4-EFC2CB0E41F2}" name="Fringe"/>
    <tableColumn id="25" xr3:uid="{5BF69F96-BD8C-48CF-8ADA-CCEFCA1B0468}" name="Small"/>
    <tableColumn id="26" xr3:uid="{B98FD994-9F68-4498-A14C-EC347F9913CA}" name="PPE"/>
    <tableColumn id="27" xr3:uid="{F644BB94-2E15-4F6D-B871-411E343F1BF9}" name="Consumable"/>
    <tableColumn id="28" xr3:uid="{9DB5578F-7C98-41B1-AD01-96E42E70ED66}" name="Overhead"/>
    <tableColumn id="29" xr3:uid="{96BE9631-0736-4F6B-A01E-15FB11DE2AE1}" name="Profit"/>
    <tableColumn id="30" xr3:uid="{76689BBE-F9B5-4628-A6BF-BB51B9A730BB}" name="FICA P"/>
    <tableColumn id="31" xr3:uid="{28B241A0-260C-4ABC-8025-12048B6418DD}" name="FUI P"/>
    <tableColumn id="32" xr3:uid="{F55710B0-E531-4CA2-B3A0-5E6BB2CD7A56}" name="SUI P"/>
    <tableColumn id="33" xr3:uid="{88FACCA5-D76A-4D1D-BD5E-F526062858EA}" name="WC P"/>
    <tableColumn id="34" xr3:uid="{6F0ED1CA-0C2D-4BDB-BE1C-5C0CA7E81E5D}" name="Gen Liab P"/>
    <tableColumn id="35" xr3:uid="{AA70887D-DB41-4333-831A-6913C70856E3}" name="Umbr P"/>
    <tableColumn id="36" xr3:uid="{4867B12F-3C0C-4DEE-AB8D-B1A2A43ADECB}" name="Pollution P"/>
    <tableColumn id="37" xr3:uid="{4EE3BD6D-A286-41F5-888A-73FDE42C1323}" name="Healt P"/>
    <tableColumn id="38" xr3:uid="{292363A4-FC9C-4072-A525-BA39C9196D7B}" name="Fringe P"/>
    <tableColumn id="39" xr3:uid="{639EDE43-55D7-4A70-9938-5333B661DF0C}" name="Small P"/>
    <tableColumn id="40" xr3:uid="{518F685A-75E7-4453-943D-2183F5DB84BD}" name="PPE P"/>
    <tableColumn id="41" xr3:uid="{96846466-C91E-428B-B8CB-3023CA35FF2E}" name="Consumable P"/>
    <tableColumn id="42" xr3:uid="{464DF65C-F352-472C-95DD-B16DED84E3D4}" name="Overhead P"/>
    <tableColumn id="43" xr3:uid="{726DBF14-D9C0-45D4-A8BE-C24CA9EAAA9D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Q6" totalsRowShown="0">
  <autoFilter ref="A1:AQ6" xr:uid="{C4085354-9A31-4841-9D3F-0557A0CAEFA4}"/>
  <tableColumns count="43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11"/>
    <tableColumn id="4" xr3:uid="{6AE58ACB-A746-4D0A-BC5C-EBF0BE8DF522}" name="Total Hours"/>
    <tableColumn id="5" xr3:uid="{1C137BE3-160B-4FB8-8F73-1E1A72BECB2D}" name="Labor Cost" dataDxfId="10"/>
    <tableColumn id="6" xr3:uid="{5FE74E3E-F0EF-4433-ACED-46AAD65F8949}" name="Scaffold-ADD"/>
    <tableColumn id="7" xr3:uid="{CB38371D-5582-4D45-9B05-56700192F494}" name="3rd Party Cost" dataDxfId="9"/>
    <tableColumn id="8" xr3:uid="{4455DF1C-CFB3-41AD-B682-470EDE153A81}" name="In House Vehicles" dataDxfId="8"/>
    <tableColumn id="9" xr3:uid="{F23E0339-A1D9-4145-B153-DC619551FB83}" name="Company Equipment" dataDxfId="7"/>
    <tableColumn id="10" xr3:uid="{C4E3F7BA-B06C-4EAF-98DC-A60EBEB26A13}" name="Material Cost" dataDxfId="6"/>
    <tableColumn id="11" xr3:uid="{DBF724B1-6904-404C-9180-049CFA0F9EEE}" name="Subcontract Cost" dataDxfId="5"/>
    <tableColumn id="12" xr3:uid="{3D82D424-6F5C-4054-9012-7B1EFE8D00DE}" name="Tools" dataDxfId="4" dataCellStyle="Porcentaje"/>
    <tableColumn id="13" xr3:uid="{65AC337E-C20F-4971-8D9F-3EC92A98C040}" name="Consumables" dataDxfId="3"/>
    <tableColumn id="14" xr3:uid="{37CDCABF-A57B-4244-A768-A1DF1123CC9E}" name="Other Cost" dataDxfId="2"/>
    <tableColumn id="15" xr3:uid="{379D6B74-6485-4C1E-AC4F-DBB99C212933}" name="Other Revanue" dataDxfId="1"/>
    <tableColumn id="16" xr3:uid="{EE62488E-9A94-4ED3-B79E-E58DF50E31D8}" name="FICA"/>
    <tableColumn id="17" xr3:uid="{E5DF8247-4253-430B-9498-209D0A48F141}" name="FUI"/>
    <tableColumn id="18" xr3:uid="{F16AA3CF-DAF6-48FA-AF62-30B68234F51E}" name="SUI"/>
    <tableColumn id="19" xr3:uid="{281D2E7A-0D73-4561-9EFC-7A45CB0B3993}" name="WC"/>
    <tableColumn id="20" xr3:uid="{7CB6002A-4B4F-4B98-92F5-D41FDE66D992}" name="Gen Liab"/>
    <tableColumn id="21" xr3:uid="{572F2734-CEB0-4A59-8103-DB2F5D19948F}" name="Umbr"/>
    <tableColumn id="22" xr3:uid="{EFEAC13B-F6CE-4CE7-90B8-594DD1859768}" name="Pollution"/>
    <tableColumn id="23" xr3:uid="{46F82263-A9AC-4971-966F-CFB431B74BCF}" name="Healt"/>
    <tableColumn id="24" xr3:uid="{225C99D1-E059-4F80-A8A4-629883CE2EEE}" name="Fringe"/>
    <tableColumn id="25" xr3:uid="{CF1A3224-F0AA-4E8C-9D68-D9B566CC94AC}" name="Small"/>
    <tableColumn id="26" xr3:uid="{58053F6B-32A4-46EC-B363-0FB18CE8ECE8}" name="PPE"/>
    <tableColumn id="27" xr3:uid="{07C112D4-CBCF-4B2F-82F1-4445872258FB}" name="Consumable"/>
    <tableColumn id="28" xr3:uid="{331A3E0B-FC27-4C30-824F-1D1014DCB4BC}" name="Overhead"/>
    <tableColumn id="29" xr3:uid="{F83CC695-4E7A-407A-A407-50FD244F3EB7}" name="Profit"/>
    <tableColumn id="30" xr3:uid="{FABA3576-AD12-4695-90C4-CDBC35B4CF32}" name="FICA P"/>
    <tableColumn id="31" xr3:uid="{279E2844-5AE6-48A3-B830-5F6846884656}" name="FUI P"/>
    <tableColumn id="32" xr3:uid="{3F0F90C3-E877-4EFF-90BE-C65D0F20E8C6}" name="SUI P"/>
    <tableColumn id="33" xr3:uid="{D3894499-4A94-427F-83A1-3BE1D7CFE780}" name="WC P"/>
    <tableColumn id="34" xr3:uid="{4C2E99B3-0D38-4F1F-81D3-38A8B4BDAB59}" name="Gen Liab P"/>
    <tableColumn id="35" xr3:uid="{7329223B-CEB1-462E-8BF4-8449E30DE940}" name="Umbr P"/>
    <tableColumn id="36" xr3:uid="{5079BA7A-C635-4190-ACE1-A585B1BCC3FF}" name="Pollution P"/>
    <tableColumn id="37" xr3:uid="{B697A466-4371-4222-9F51-E870FE866667}" name="Healt P"/>
    <tableColumn id="38" xr3:uid="{BCC31244-E193-4FB8-9391-0473674D5F99}" name="Fringe P"/>
    <tableColumn id="39" xr3:uid="{1FEC5269-A9EF-4F06-A876-E847EA353997}" name="Small P"/>
    <tableColumn id="40" xr3:uid="{EB1203EF-4BBE-47A0-8A47-E52C6E826D0A}" name="PPE P"/>
    <tableColumn id="41" xr3:uid="{984BA335-9D49-4EC5-B39F-598063E72B85}" name="Consumable P"/>
    <tableColumn id="42" xr3:uid="{FF446FCB-F070-4C46-803F-3BC4B7AD3762}" name="Overhead P"/>
    <tableColumn id="43" xr3:uid="{5D813A09-0A3F-492D-9834-BA9D1D4EBCD3}" name="Profit 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E7F84F-FC0D-4C6D-AEE2-0C0A82CF605E}" name="DataMaterialInfo" displayName="DataMaterialInfo" ref="A1:G6" totalsRowShown="0">
  <autoFilter ref="A1:G6" xr:uid="{37E7F84F-FC0D-4C6D-AEE2-0C0A82CF605E}"/>
  <tableColumns count="7">
    <tableColumn id="1" xr3:uid="{453CDF7D-A791-4B1D-AA56-A59D744F022B}" name="jobNo"/>
    <tableColumn id="2" xr3:uid="{8166E639-7A6B-401F-8232-AFB7727CDC11}" name="Code"/>
    <tableColumn id="3" xr3:uid="{1A3D4A20-FF8C-4D3E-A636-ABB1A3A5FCEB}" name="Material Name"/>
    <tableColumn id="4" xr3:uid="{B24E37A6-3589-4E18-9BB3-5A6C578DFD93}" name="Description"/>
    <tableColumn id="5" xr3:uid="{89641EA4-DC85-4487-A1F3-4C14A4486144}" name="Cost" dataCellStyle="Moneda"/>
    <tableColumn id="6" xr3:uid="{9CA735D5-C6AF-46E5-A8B7-5811AE2072B1}" name="Date" dataDxfId="0"/>
    <tableColumn id="9" xr3:uid="{EE83BD2F-016B-4967-8BA3-49C2F0990718}" name="Type Materi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tabSelected="1"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C7" sqref="C7"/>
    </sheetView>
  </sheetViews>
  <sheetFormatPr baseColWidth="10"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32"/>
      <c r="C1" s="432"/>
      <c r="D1" s="26" t="s">
        <v>44</v>
      </c>
      <c r="E1" s="27" t="str">
        <f>IF(AND(A2&lt;&gt;"*",F1),"Contract Break-Down Included", "")</f>
        <v/>
      </c>
      <c r="F1" s="1"/>
      <c r="G1" s="433"/>
      <c r="H1" s="433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34" t="s">
        <v>108</v>
      </c>
      <c r="C2" s="435"/>
      <c r="D2" s="435"/>
      <c r="E2" s="436"/>
      <c r="F2" s="437"/>
      <c r="G2" s="438" t="s">
        <v>0</v>
      </c>
      <c r="H2" s="439"/>
      <c r="I2" s="440"/>
      <c r="J2" s="31" t="str">
        <f>IF(I1,"Over/Under
WIP Variance","")</f>
        <v/>
      </c>
      <c r="K2" s="428" t="s">
        <v>1</v>
      </c>
      <c r="L2" s="429"/>
      <c r="M2" s="416" t="s">
        <v>2</v>
      </c>
      <c r="N2" s="417"/>
      <c r="O2" s="418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1</v>
      </c>
      <c r="H3" s="37">
        <v>0</v>
      </c>
      <c r="I3" s="38">
        <f>H3-G3</f>
        <v>-1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19" t="s">
        <v>18</v>
      </c>
      <c r="B5" s="53" t="s">
        <v>18</v>
      </c>
      <c r="C5" s="292">
        <f>VLOOKUP(B3,DataInfo[[jobNo]:[ST Hours]],2,0)</f>
        <v>642.5</v>
      </c>
      <c r="D5" s="292">
        <f>VLOOKUP(B3,DataInfo[[jobNo]:[OT Hours]],3,0)</f>
        <v>35</v>
      </c>
      <c r="E5" s="293">
        <f>VLOOKUP(B3,DataInfo[[jobNo]:[Total Hours]],4,0)</f>
        <v>677.5</v>
      </c>
      <c r="F5" s="283">
        <f>VLOOKUP(B3,DataInfo[[jobNo]:[Labor Cost]],5,0)</f>
        <v>29481.07</v>
      </c>
      <c r="G5" s="284">
        <f>VLOOKUP(B3,DataInfo[[jobNo]:[Total Hours]],4,0)</f>
        <v>677.5</v>
      </c>
      <c r="H5" s="54">
        <f>IFERROR(F5-G5,0)</f>
        <v>28803.57</v>
      </c>
      <c r="I5" s="55">
        <f>IFERROR(H5/$E$5,0)</f>
        <v>42.514494464944647</v>
      </c>
      <c r="J5" s="56"/>
      <c r="K5" s="57">
        <f>F5</f>
        <v>29481.07</v>
      </c>
      <c r="L5" s="58">
        <f>G5</f>
        <v>677.5</v>
      </c>
      <c r="M5" s="59">
        <f>IFERROR(K5-L5,0)</f>
        <v>28803.57</v>
      </c>
      <c r="N5" s="60">
        <f>IFERROR(M5/$E$3,0)</f>
        <v>0</v>
      </c>
      <c r="O5" s="61"/>
      <c r="P5" s="8"/>
    </row>
    <row r="6" spans="1:18" ht="26.1" customHeight="1" x14ac:dyDescent="0.25">
      <c r="A6" s="420"/>
      <c r="B6" s="63" t="s">
        <v>58</v>
      </c>
      <c r="C6" s="394">
        <f>HLOOKUP(B6,DataInfo[#All], MATCH(B3,DataInfo[jobNo],0)+1,FALSE)</f>
        <v>7.65</v>
      </c>
      <c r="D6" s="394">
        <f>HLOOKUP("FICA P",DataInfo[#All], MATCH(B3,DataInfo[jobNo],0)+1,FALSE)</f>
        <v>7.65</v>
      </c>
      <c r="E6" s="64"/>
      <c r="F6" s="9">
        <f>(C6*$C$5)+(D6*$D$5)</f>
        <v>5182.875</v>
      </c>
      <c r="G6" s="65"/>
      <c r="H6" s="66">
        <f t="shared" ref="H6:H26" si="0">IFERROR(F6-G6,0)</f>
        <v>5182.875</v>
      </c>
      <c r="I6" s="67">
        <f t="shared" ref="I6:I25" si="1">IFERROR(H6/$E$26,0)</f>
        <v>7.65</v>
      </c>
      <c r="J6" s="68" t="e">
        <v>#REF!</v>
      </c>
      <c r="K6" s="69">
        <f>F6</f>
        <v>5182.875</v>
      </c>
      <c r="L6" s="70">
        <f>G6</f>
        <v>0</v>
      </c>
      <c r="M6" s="71">
        <f>IFERROR(K6-L6,0)</f>
        <v>5182.875</v>
      </c>
      <c r="N6" s="72">
        <f>IFERROR(M6/$E$3,0)</f>
        <v>0</v>
      </c>
      <c r="O6" s="73"/>
      <c r="P6" s="10"/>
    </row>
    <row r="7" spans="1:18" ht="26.1" customHeight="1" x14ac:dyDescent="0.25">
      <c r="A7" s="420"/>
      <c r="B7" s="63" t="s">
        <v>59</v>
      </c>
      <c r="C7" s="394">
        <f>HLOOKUP(B7,DataInfo[#All], MATCH(B3,DataInfo[jobNo],0)+1,FALSE)</f>
        <v>0.6</v>
      </c>
      <c r="D7" s="394">
        <f>HLOOKUP("FUI P",DataInfo[#All], MATCH(B3,DataInfo[jobNo],0)+1,FALSE)</f>
        <v>0.6</v>
      </c>
      <c r="E7" s="74"/>
      <c r="F7" s="9">
        <f>(C7*$C$5)+(D7*$D$5)</f>
        <v>406.5</v>
      </c>
      <c r="G7" s="65"/>
      <c r="H7" s="66">
        <f>IFERROR(F7-G7,0)</f>
        <v>406.5</v>
      </c>
      <c r="I7" s="67">
        <f>IFERROR(H7/$E$26,0)</f>
        <v>0.6</v>
      </c>
      <c r="J7" s="75"/>
      <c r="K7" s="69">
        <f>F7</f>
        <v>406.5</v>
      </c>
      <c r="L7" s="70">
        <f t="shared" ref="L7:L25" si="2">G7</f>
        <v>0</v>
      </c>
      <c r="M7" s="71">
        <f>IFERROR(K7-L7,0)</f>
        <v>406.5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20"/>
      <c r="B8" s="63" t="s">
        <v>60</v>
      </c>
      <c r="C8" s="394">
        <f>HLOOKUP(B8,DataInfo[#All], MATCH(B3,DataInfo[jobNo],0)+1,FALSE)</f>
        <v>6.88</v>
      </c>
      <c r="D8" s="394">
        <f>HLOOKUP("SUI P",DataInfo[#All], MATCH(B3,DataInfo[jobNo],0)+1,FALSE)</f>
        <v>6.88</v>
      </c>
      <c r="E8" s="76"/>
      <c r="F8" s="9">
        <f>(C8*$C$5)+(D8*$D$5)</f>
        <v>4661.2</v>
      </c>
      <c r="G8" s="65"/>
      <c r="H8" s="66">
        <f>IFERROR(F8-G8,0)</f>
        <v>4661.2</v>
      </c>
      <c r="I8" s="67">
        <f t="shared" si="1"/>
        <v>6.88</v>
      </c>
      <c r="J8" s="75"/>
      <c r="K8" s="69">
        <f t="shared" ref="K8:K25" si="4">F8</f>
        <v>4661.2</v>
      </c>
      <c r="L8" s="70">
        <f t="shared" si="2"/>
        <v>0</v>
      </c>
      <c r="M8" s="71">
        <f t="shared" ref="M8:M25" si="5">IFERROR(K8-L8,0)</f>
        <v>4661.2</v>
      </c>
      <c r="N8" s="72">
        <f t="shared" si="3"/>
        <v>0</v>
      </c>
      <c r="O8" s="73"/>
      <c r="P8" s="10"/>
    </row>
    <row r="9" spans="1:18" ht="30.75" customHeight="1" x14ac:dyDescent="0.25">
      <c r="A9" s="420"/>
      <c r="B9" s="77" t="s">
        <v>61</v>
      </c>
      <c r="C9" s="394">
        <f>HLOOKUP(B9,DataInfo[#All], MATCH(B3,DataInfo[jobNo],0)+1,FALSE)</f>
        <v>9.1</v>
      </c>
      <c r="D9" s="394">
        <f>HLOOKUP("WC P",DataInfo[#All], MATCH(B3,DataInfo[jobNo],0)+1,FALSE)</f>
        <v>9.1</v>
      </c>
      <c r="E9" s="76"/>
      <c r="F9" s="9">
        <f>(C9*$C$5)+(D9*$D$5)</f>
        <v>6165.25</v>
      </c>
      <c r="G9" s="65"/>
      <c r="H9" s="66">
        <f>IFERROR(F9-G9,0)</f>
        <v>6165.25</v>
      </c>
      <c r="I9" s="67">
        <f t="shared" si="1"/>
        <v>9.1</v>
      </c>
      <c r="J9" s="75"/>
      <c r="K9" s="69">
        <f t="shared" si="4"/>
        <v>6165.25</v>
      </c>
      <c r="L9" s="70">
        <f t="shared" si="2"/>
        <v>0</v>
      </c>
      <c r="M9" s="71">
        <f t="shared" si="5"/>
        <v>6165.25</v>
      </c>
      <c r="N9" s="72">
        <f t="shared" si="3"/>
        <v>0</v>
      </c>
      <c r="O9" s="73"/>
      <c r="P9" s="10"/>
    </row>
    <row r="10" spans="1:18" ht="26.1" customHeight="1" x14ac:dyDescent="0.25">
      <c r="A10" s="420"/>
      <c r="B10" s="77" t="s">
        <v>62</v>
      </c>
      <c r="C10" s="394">
        <f>HLOOKUP(B10,DataInfo[#All], MATCH(B3,DataInfo[jobNo],0)+1,FALSE)</f>
        <v>1.26</v>
      </c>
      <c r="D10" s="394">
        <f>HLOOKUP("Gen Liab P",DataInfo[#All], MATCH(B3,DataInfo[jobNo],0)+1,FALSE)</f>
        <v>1.26</v>
      </c>
      <c r="E10" s="76"/>
      <c r="F10" s="9">
        <f>(C10*$C$5)+(D10*$D$5)</f>
        <v>853.65</v>
      </c>
      <c r="G10" s="65"/>
      <c r="H10" s="66">
        <f>IFERROR(F10-G10,0)</f>
        <v>853.65</v>
      </c>
      <c r="I10" s="67">
        <f t="shared" si="1"/>
        <v>1.26</v>
      </c>
      <c r="J10" s="75"/>
      <c r="K10" s="69">
        <f t="shared" si="4"/>
        <v>853.65</v>
      </c>
      <c r="L10" s="70">
        <f t="shared" si="2"/>
        <v>0</v>
      </c>
      <c r="M10" s="71">
        <f t="shared" si="5"/>
        <v>853.65</v>
      </c>
      <c r="N10" s="72">
        <f t="shared" si="3"/>
        <v>0</v>
      </c>
      <c r="O10" s="73"/>
      <c r="P10" s="10"/>
    </row>
    <row r="11" spans="1:18" ht="26.1" customHeight="1" x14ac:dyDescent="0.25">
      <c r="A11" s="420"/>
      <c r="B11" s="63" t="s">
        <v>63</v>
      </c>
      <c r="C11" s="394">
        <f>HLOOKUP(B11,DataInfo[#All], MATCH(B3,DataInfo[jobNo],0)+1,FALSE)</f>
        <v>0.93</v>
      </c>
      <c r="D11" s="394">
        <f>HLOOKUP("Umbr P",DataInfo[#All], MATCH(B3,DataInfo[jobNo],0)+1,FALSE)</f>
        <v>0.93</v>
      </c>
      <c r="E11" s="76"/>
      <c r="F11" s="9">
        <f t="shared" ref="F11:F25" si="6">(C11*$C$5)+(D11*$D$5)</f>
        <v>630.07499999999993</v>
      </c>
      <c r="G11" s="65"/>
      <c r="H11" s="66">
        <f t="shared" si="0"/>
        <v>630.07499999999993</v>
      </c>
      <c r="I11" s="67">
        <f t="shared" si="1"/>
        <v>0.92999999999999994</v>
      </c>
      <c r="J11" s="75"/>
      <c r="K11" s="69">
        <f t="shared" si="4"/>
        <v>630.07499999999993</v>
      </c>
      <c r="L11" s="70">
        <f t="shared" si="2"/>
        <v>0</v>
      </c>
      <c r="M11" s="71">
        <f t="shared" si="5"/>
        <v>630.07499999999993</v>
      </c>
      <c r="N11" s="72">
        <f t="shared" si="3"/>
        <v>0</v>
      </c>
      <c r="O11" s="73"/>
      <c r="P11" s="10"/>
    </row>
    <row r="12" spans="1:18" ht="26.1" customHeight="1" x14ac:dyDescent="0.25">
      <c r="A12" s="420"/>
      <c r="B12" s="63" t="s">
        <v>64</v>
      </c>
      <c r="C12" s="394">
        <f>HLOOKUP(B12,DataInfo[#All], MATCH(B3,DataInfo[jobNo],0)+1,FALSE)</f>
        <v>0.09</v>
      </c>
      <c r="D12" s="394">
        <f>HLOOKUP("Pollution P",DataInfo[#All], MATCH(B3,DataInfo[jobNo],0)+1,FALSE)</f>
        <v>0.09</v>
      </c>
      <c r="E12" s="76"/>
      <c r="F12" s="9">
        <f t="shared" si="6"/>
        <v>60.974999999999994</v>
      </c>
      <c r="G12" s="65"/>
      <c r="H12" s="66">
        <f t="shared" si="0"/>
        <v>60.974999999999994</v>
      </c>
      <c r="I12" s="67">
        <f t="shared" si="1"/>
        <v>0.09</v>
      </c>
      <c r="J12" s="75"/>
      <c r="K12" s="69">
        <f t="shared" si="4"/>
        <v>60.974999999999994</v>
      </c>
      <c r="L12" s="70">
        <f t="shared" si="2"/>
        <v>0</v>
      </c>
      <c r="M12" s="71">
        <f t="shared" si="5"/>
        <v>60.974999999999994</v>
      </c>
      <c r="N12" s="72">
        <f t="shared" si="3"/>
        <v>0</v>
      </c>
      <c r="O12" s="73"/>
      <c r="P12" s="10"/>
    </row>
    <row r="13" spans="1:18" ht="26.1" customHeight="1" x14ac:dyDescent="0.25">
      <c r="A13" s="420"/>
      <c r="B13" s="63" t="s">
        <v>65</v>
      </c>
      <c r="C13" s="394">
        <f>HLOOKUP(B13,DataInfo[#All], MATCH(B3,DataInfo[jobNo],0)+1,FALSE)</f>
        <v>3.5</v>
      </c>
      <c r="D13" s="394">
        <f>HLOOKUP("Healt P",DataInfo[#All], MATCH(B3,DataInfo[jobNo],0)+1,FALSE)</f>
        <v>3.5</v>
      </c>
      <c r="E13" s="76" t="s">
        <v>19</v>
      </c>
      <c r="F13" s="9">
        <f t="shared" si="6"/>
        <v>2371.25</v>
      </c>
      <c r="G13" s="65"/>
      <c r="H13" s="66">
        <f t="shared" si="0"/>
        <v>2371.25</v>
      </c>
      <c r="I13" s="67">
        <f t="shared" si="1"/>
        <v>3.5</v>
      </c>
      <c r="J13" s="75"/>
      <c r="K13" s="69">
        <f t="shared" si="4"/>
        <v>2371.25</v>
      </c>
      <c r="L13" s="70">
        <f t="shared" si="2"/>
        <v>0</v>
      </c>
      <c r="M13" s="71">
        <f t="shared" si="5"/>
        <v>2371.25</v>
      </c>
      <c r="N13" s="72">
        <f t="shared" si="3"/>
        <v>0</v>
      </c>
      <c r="O13" s="73"/>
      <c r="P13" s="10"/>
    </row>
    <row r="14" spans="1:18" ht="26.1" customHeight="1" x14ac:dyDescent="0.25">
      <c r="A14" s="420"/>
      <c r="B14" s="63" t="s">
        <v>66</v>
      </c>
      <c r="C14" s="394">
        <f>HLOOKUP(B14,DataInfo[#All], MATCH(B3,DataInfo[jobNo],0)+1,FALSE)</f>
        <v>1</v>
      </c>
      <c r="D14" s="394">
        <f>HLOOKUP("Fringe P",DataInfo[#All], MATCH(B3,DataInfo[jobNo],0)+1,FALSE)</f>
        <v>1</v>
      </c>
      <c r="E14" s="78"/>
      <c r="F14" s="9">
        <f t="shared" si="6"/>
        <v>677.5</v>
      </c>
      <c r="G14" s="65"/>
      <c r="H14" s="66">
        <f t="shared" si="0"/>
        <v>677.5</v>
      </c>
      <c r="I14" s="67">
        <f t="shared" si="1"/>
        <v>1</v>
      </c>
      <c r="J14" s="75"/>
      <c r="K14" s="69">
        <f t="shared" si="4"/>
        <v>677.5</v>
      </c>
      <c r="L14" s="70">
        <f t="shared" si="2"/>
        <v>0</v>
      </c>
      <c r="M14" s="71">
        <f t="shared" si="5"/>
        <v>677.5</v>
      </c>
      <c r="N14" s="72">
        <f t="shared" si="3"/>
        <v>0</v>
      </c>
      <c r="O14" s="73"/>
      <c r="P14" s="10"/>
    </row>
    <row r="15" spans="1:18" ht="26.1" customHeight="1" x14ac:dyDescent="0.25">
      <c r="A15" s="420"/>
      <c r="B15" s="63" t="s">
        <v>67</v>
      </c>
      <c r="C15" s="394">
        <f>HLOOKUP(B15,DataInfo[#All], MATCH(B3,DataInfo[jobNo],0)+1,FALSE)</f>
        <v>0.5</v>
      </c>
      <c r="D15" s="394">
        <f>HLOOKUP("Small P",DataInfo[#All], MATCH(B3,DataInfo[jobNo],0)+1,FALSE)</f>
        <v>0.5</v>
      </c>
      <c r="E15" s="76"/>
      <c r="F15" s="9">
        <f t="shared" si="6"/>
        <v>338.75</v>
      </c>
      <c r="G15" s="65"/>
      <c r="H15" s="66">
        <f t="shared" si="0"/>
        <v>338.75</v>
      </c>
      <c r="I15" s="67">
        <f t="shared" si="1"/>
        <v>0.5</v>
      </c>
      <c r="J15" s="75"/>
      <c r="K15" s="69">
        <f t="shared" si="4"/>
        <v>338.75</v>
      </c>
      <c r="L15" s="70">
        <f t="shared" si="2"/>
        <v>0</v>
      </c>
      <c r="M15" s="71">
        <f t="shared" si="5"/>
        <v>338.75</v>
      </c>
      <c r="N15" s="72">
        <f t="shared" si="3"/>
        <v>0</v>
      </c>
      <c r="O15" s="73"/>
      <c r="P15" s="10"/>
    </row>
    <row r="16" spans="1:18" ht="26.1" customHeight="1" x14ac:dyDescent="0.25">
      <c r="A16" s="420"/>
      <c r="B16" s="63" t="s">
        <v>68</v>
      </c>
      <c r="C16" s="394">
        <f>HLOOKUP(B16,DataInfo[#All], MATCH(B3,DataInfo[jobNo],0)+1,FALSE)</f>
        <v>0.5</v>
      </c>
      <c r="D16" s="394">
        <f>HLOOKUP("PPE P",DataInfo[#All], MATCH(B3,DataInfo[jobNo],0)+1,FALSE)</f>
        <v>0.5</v>
      </c>
      <c r="E16" s="76" t="s">
        <v>19</v>
      </c>
      <c r="F16" s="9">
        <f t="shared" si="6"/>
        <v>338.75</v>
      </c>
      <c r="G16" s="65"/>
      <c r="H16" s="66">
        <f t="shared" si="0"/>
        <v>338.75</v>
      </c>
      <c r="I16" s="67">
        <f t="shared" si="1"/>
        <v>0.5</v>
      </c>
      <c r="J16" s="75"/>
      <c r="K16" s="69">
        <f t="shared" si="4"/>
        <v>338.75</v>
      </c>
      <c r="L16" s="70">
        <f t="shared" si="2"/>
        <v>0</v>
      </c>
      <c r="M16" s="71">
        <f t="shared" si="5"/>
        <v>338.75</v>
      </c>
      <c r="N16" s="72">
        <f t="shared" si="3"/>
        <v>0</v>
      </c>
      <c r="O16" s="73"/>
      <c r="P16" s="11"/>
    </row>
    <row r="17" spans="1:16" ht="26.1" customHeight="1" x14ac:dyDescent="0.25">
      <c r="A17" s="420"/>
      <c r="B17" s="63" t="s">
        <v>69</v>
      </c>
      <c r="C17" s="394">
        <f>HLOOKUP(B17,DataInfo[#All], MATCH(B3,DataInfo[jobNo],0)+1,FALSE)</f>
        <v>1</v>
      </c>
      <c r="D17" s="394">
        <f>HLOOKUP("Consumable P",DataInfo[#All], MATCH(B3,DataInfo[jobNo],0)+1,FALSE)</f>
        <v>1</v>
      </c>
      <c r="E17" s="76" t="s">
        <v>19</v>
      </c>
      <c r="F17" s="9">
        <f t="shared" si="6"/>
        <v>677.5</v>
      </c>
      <c r="G17" s="65"/>
      <c r="H17" s="66">
        <f t="shared" si="0"/>
        <v>677.5</v>
      </c>
      <c r="I17" s="67">
        <f t="shared" si="1"/>
        <v>1</v>
      </c>
      <c r="J17" s="75"/>
      <c r="K17" s="69">
        <f t="shared" si="4"/>
        <v>677.5</v>
      </c>
      <c r="L17" s="70">
        <f t="shared" si="2"/>
        <v>0</v>
      </c>
      <c r="M17" s="71">
        <f t="shared" si="5"/>
        <v>677.5</v>
      </c>
      <c r="N17" s="72">
        <f t="shared" si="3"/>
        <v>0</v>
      </c>
      <c r="O17" s="73"/>
      <c r="P17" s="11"/>
    </row>
    <row r="18" spans="1:16" ht="26.1" customHeight="1" x14ac:dyDescent="0.25">
      <c r="A18" s="420"/>
      <c r="B18" s="63" t="s">
        <v>22</v>
      </c>
      <c r="C18" s="394">
        <f>HLOOKUP(B18,DataInfo[#All], MATCH(B3,DataInfo[jobNo],0)+1,FALSE)</f>
        <v>8</v>
      </c>
      <c r="D18" s="394">
        <f>HLOOKUP("Overhead P",DataInfo[#All], MATCH(B3,DataInfo[jobNo],0)+1,FALSE)</f>
        <v>8</v>
      </c>
      <c r="E18" s="76" t="s">
        <v>19</v>
      </c>
      <c r="F18" s="9">
        <f t="shared" si="6"/>
        <v>5420</v>
      </c>
      <c r="G18" s="65"/>
      <c r="H18" s="66">
        <f t="shared" si="0"/>
        <v>5420</v>
      </c>
      <c r="I18" s="67">
        <f t="shared" si="1"/>
        <v>8</v>
      </c>
      <c r="J18" s="75"/>
      <c r="K18" s="69">
        <f t="shared" si="4"/>
        <v>5420</v>
      </c>
      <c r="L18" s="70">
        <f t="shared" si="2"/>
        <v>0</v>
      </c>
      <c r="M18" s="71">
        <f t="shared" si="5"/>
        <v>5420</v>
      </c>
      <c r="N18" s="72">
        <f t="shared" si="3"/>
        <v>0</v>
      </c>
      <c r="O18" s="73"/>
      <c r="P18" s="11"/>
    </row>
    <row r="19" spans="1:16" ht="26.1" customHeight="1" x14ac:dyDescent="0.25">
      <c r="A19" s="420"/>
      <c r="B19" s="63" t="s">
        <v>23</v>
      </c>
      <c r="C19" s="394">
        <f>HLOOKUP(B19,DataInfo[#All], MATCH(B3,DataInfo[jobNo],0)+1,FALSE)</f>
        <v>6</v>
      </c>
      <c r="D19" s="394">
        <f>HLOOKUP("Profit P",DataInfo[#All], MATCH(B3,DataInfo[jobNo],0)+1,FALSE)</f>
        <v>6</v>
      </c>
      <c r="E19" s="76" t="s">
        <v>19</v>
      </c>
      <c r="F19" s="9">
        <f t="shared" si="6"/>
        <v>4065</v>
      </c>
      <c r="G19" s="65"/>
      <c r="H19" s="66">
        <f t="shared" si="0"/>
        <v>4065</v>
      </c>
      <c r="I19" s="79">
        <f>IFERROR(H19/$E$26,0)</f>
        <v>6</v>
      </c>
      <c r="J19" s="75"/>
      <c r="K19" s="69">
        <f>F19</f>
        <v>4065</v>
      </c>
      <c r="L19" s="70">
        <f t="shared" si="2"/>
        <v>0</v>
      </c>
      <c r="M19" s="71">
        <f t="shared" si="5"/>
        <v>4065</v>
      </c>
      <c r="N19" s="72">
        <f t="shared" si="3"/>
        <v>0</v>
      </c>
      <c r="O19" s="73"/>
      <c r="P19" s="11"/>
    </row>
    <row r="20" spans="1:16" ht="26.1" customHeight="1" x14ac:dyDescent="0.25">
      <c r="A20" s="420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20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20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20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20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21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22" t="s">
        <v>24</v>
      </c>
      <c r="B26" s="423"/>
      <c r="C26" s="83">
        <f>SUM(PRODUCT(SUM(C6:C25),$G$3),$G$3)</f>
        <v>48.01</v>
      </c>
      <c r="D26" s="84">
        <f>SUM(PRODUCT(SUM(D6:D25),$G$3),$H$3)</f>
        <v>47.01</v>
      </c>
      <c r="E26" s="85">
        <f>SUM(E5:E25)</f>
        <v>677.5</v>
      </c>
      <c r="F26" s="86">
        <f>IFERROR(SUM(F5:F25),0)</f>
        <v>61330.344999999994</v>
      </c>
      <c r="G26" s="86">
        <f>SUM(G5:G23)</f>
        <v>677.5</v>
      </c>
      <c r="H26" s="87">
        <f t="shared" si="0"/>
        <v>60652.844999999994</v>
      </c>
      <c r="I26" s="88">
        <f>IFERROR(H26/$E$58,0)</f>
        <v>89.524494464944638</v>
      </c>
      <c r="J26" s="89">
        <f>IFERROR(H26/F26,0)</f>
        <v>0.98895326611973244</v>
      </c>
      <c r="K26" s="90">
        <f>SUM(K5:K25)</f>
        <v>61330.344999999994</v>
      </c>
      <c r="L26" s="91">
        <f>SUM(L5:L23)</f>
        <v>677.5</v>
      </c>
      <c r="M26" s="92">
        <f>IFERROR(K26-L26,0)</f>
        <v>60652.844999999994</v>
      </c>
      <c r="N26" s="93">
        <f>IFERROR(M26/K26,0)</f>
        <v>0.98895326611973244</v>
      </c>
      <c r="O26" s="94">
        <f>IFERROR(M26/K26,0)</f>
        <v>0.98895326611973244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24" t="s">
        <v>25</v>
      </c>
      <c r="B28" s="107" t="s">
        <v>18</v>
      </c>
      <c r="C28" s="107"/>
      <c r="D28" s="107"/>
      <c r="E28" s="108"/>
      <c r="F28" s="109">
        <f>VLOOKUP(B3,DataInfo[[jobNo]:[Subcontract Cost]],11,0)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25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26" t="s">
        <v>26</v>
      </c>
      <c r="B30" s="427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0" t="s">
        <v>27</v>
      </c>
      <c r="B32" s="431"/>
      <c r="C32" s="291"/>
      <c r="D32" s="291"/>
      <c r="E32" s="138">
        <f>SUM(E30,E26)</f>
        <v>677.5</v>
      </c>
      <c r="F32" s="139">
        <f>IFERROR(SUM(F30,F26),0)</f>
        <v>61330.344999999994</v>
      </c>
      <c r="G32" s="139">
        <f>SUM(G26,G30)</f>
        <v>677.5</v>
      </c>
      <c r="H32" s="140">
        <f>IFERROR(F32-G32,0)</f>
        <v>60652.844999999994</v>
      </c>
      <c r="I32" s="141">
        <f>IFERROR(H32/$E$58,0)</f>
        <v>89.524494464944638</v>
      </c>
      <c r="J32" s="89">
        <f>IFERROR(H32/F32,0)</f>
        <v>0.98895326611973244</v>
      </c>
      <c r="K32" s="142">
        <f>SUM(K30,K26)</f>
        <v>61330.344999999994</v>
      </c>
      <c r="L32" s="143">
        <f>SUM(L26,L30)</f>
        <v>677.5</v>
      </c>
      <c r="M32" s="144">
        <f>IFERROR(K32-L32,0)</f>
        <v>60652.844999999994</v>
      </c>
      <c r="N32" s="145">
        <f>IFERROR(M32/$E$3,0)</f>
        <v>0</v>
      </c>
      <c r="O32" s="94">
        <f>IFERROR(M32/K32,0)</f>
        <v>0.98895326611973244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04" t="s">
        <v>28</v>
      </c>
      <c r="B34" s="406" t="s">
        <v>20</v>
      </c>
      <c r="C34" s="156"/>
      <c r="D34" s="156"/>
      <c r="E34" s="157" t="s">
        <v>19</v>
      </c>
      <c r="F34" s="158">
        <f>VLOOKUP(B3,DataInfo[[jobNo]:[Material Cost]],10,0)</f>
        <v>480</v>
      </c>
      <c r="G34" s="158"/>
      <c r="H34" s="159">
        <f>IFERROR(F34-G34,0)</f>
        <v>480</v>
      </c>
      <c r="I34" s="160">
        <f>IFERROR(H34/$E$58,0)</f>
        <v>0.70848708487084866</v>
      </c>
      <c r="J34" s="161" t="s">
        <v>19</v>
      </c>
      <c r="K34" s="162">
        <f>F34</f>
        <v>480</v>
      </c>
      <c r="L34" s="163">
        <f>G34</f>
        <v>0</v>
      </c>
      <c r="M34" s="164">
        <f>IFERROR(K34-L34,0)</f>
        <v>480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05"/>
      <c r="B35" s="407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08" t="s">
        <v>29</v>
      </c>
      <c r="B36" s="409"/>
      <c r="C36" s="288"/>
      <c r="D36" s="288"/>
      <c r="E36" s="176"/>
      <c r="F36" s="177">
        <f>IFERROR(SUM(F34:F35),0)</f>
        <v>480</v>
      </c>
      <c r="G36" s="177">
        <f>SUM(G34:G35)</f>
        <v>0</v>
      </c>
      <c r="H36" s="178">
        <f>IFERROR(F36-G36,0)</f>
        <v>480</v>
      </c>
      <c r="I36" s="179">
        <f>IFERROR(H36/$E$58,0)</f>
        <v>0.70848708487084866</v>
      </c>
      <c r="J36" s="180">
        <f>IFERROR(H36/F36,0)</f>
        <v>1</v>
      </c>
      <c r="K36" s="181">
        <f>SUM(K34:K35)</f>
        <v>480</v>
      </c>
      <c r="L36" s="182">
        <f>SUM(L34:L35)</f>
        <v>0</v>
      </c>
      <c r="M36" s="343">
        <f>IFERROR(K36-L36,0)</f>
        <v>480</v>
      </c>
      <c r="N36" s="178">
        <f>IFERROR(M36/$E$3,0)</f>
        <v>0</v>
      </c>
      <c r="O36" s="184">
        <f>IFERROR(M36/K36,0)</f>
        <v>1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10" t="s">
        <v>30</v>
      </c>
      <c r="B38" s="189" t="s">
        <v>31</v>
      </c>
      <c r="C38" s="189"/>
      <c r="D38" s="189"/>
      <c r="E38" s="190" t="s">
        <v>19</v>
      </c>
      <c r="F38" s="191">
        <f>VLOOKUP(B3,DataInfo[[jobNo]:[Company Equipment]],9,0)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11"/>
      <c r="B39" s="198" t="s">
        <v>32</v>
      </c>
      <c r="C39" s="198"/>
      <c r="D39" s="198"/>
      <c r="E39" s="199" t="s">
        <v>19</v>
      </c>
      <c r="F39" s="200">
        <f>VLOOKUP(B3,DataInfo[[jobNo]:[3rd Party Cost]],7,0)</f>
        <v>50</v>
      </c>
      <c r="G39" s="200"/>
      <c r="H39" s="201">
        <f>IFERROR(F39-G39,0)</f>
        <v>50</v>
      </c>
      <c r="I39" s="202">
        <f>IFERROR(H39/$E$58,0)</f>
        <v>7.3800738007380073E-2</v>
      </c>
      <c r="J39" s="203"/>
      <c r="K39" s="360">
        <f>F39</f>
        <v>50</v>
      </c>
      <c r="L39" s="362">
        <f>G39</f>
        <v>0</v>
      </c>
      <c r="M39" s="204">
        <f>IFERROR(K39-L39,0)</f>
        <v>50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12" t="s">
        <v>33</v>
      </c>
      <c r="B40" s="413"/>
      <c r="C40" s="289"/>
      <c r="D40" s="289"/>
      <c r="E40" s="207" t="s">
        <v>19</v>
      </c>
      <c r="F40" s="208">
        <f>IFERROR(SUM(F38:F39),0)</f>
        <v>50</v>
      </c>
      <c r="G40" s="208"/>
      <c r="H40" s="209">
        <f>IFERROR(F40-G40,0)</f>
        <v>50</v>
      </c>
      <c r="I40" s="210">
        <f>IFERROR(H40/$E$58,0)</f>
        <v>7.3800738007380073E-2</v>
      </c>
      <c r="J40" s="211">
        <f>IFERROR(H40/F40,0)</f>
        <v>1</v>
      </c>
      <c r="K40" s="361">
        <f>SUM(K38:K39)</f>
        <v>50</v>
      </c>
      <c r="L40" s="363">
        <f>SUM(L38:L39)</f>
        <v>0</v>
      </c>
      <c r="M40" s="212">
        <f>IFERROR(K40-L40,0)</f>
        <v>50</v>
      </c>
      <c r="N40" s="209">
        <f>IFERROR(M40/$E$3,0)</f>
        <v>0</v>
      </c>
      <c r="O40" s="213">
        <f>IFERROR(M40/K40,0)</f>
        <v>1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14" t="s">
        <v>34</v>
      </c>
      <c r="B42" s="215" t="s">
        <v>35</v>
      </c>
      <c r="C42" s="216">
        <f>VLOOKUP(B3,DataInfo[[jobNo]:[Scaffold-ADD]],6,0)</f>
        <v>1</v>
      </c>
      <c r="D42" s="216"/>
      <c r="E42" s="217" t="s">
        <v>19</v>
      </c>
      <c r="F42" s="218">
        <f>(C42*$C$5)+(D42*$D$5)</f>
        <v>642.5</v>
      </c>
      <c r="G42" s="218"/>
      <c r="H42" s="219">
        <f>IFERROR(F42-G42,0)</f>
        <v>642.5</v>
      </c>
      <c r="I42" s="220">
        <f>IFERROR(H42/$E$58,0)</f>
        <v>0.94833948339483398</v>
      </c>
      <c r="J42" s="221">
        <f>IFERROR(H42/F42,0)</f>
        <v>1</v>
      </c>
      <c r="K42" s="222">
        <f>F42</f>
        <v>642.5</v>
      </c>
      <c r="L42" s="223">
        <f>G42</f>
        <v>0</v>
      </c>
      <c r="M42" s="224">
        <f>IFERROR(K42-L42,0)</f>
        <v>642.5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15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398" t="s">
        <v>37</v>
      </c>
      <c r="B44" s="399"/>
      <c r="C44" s="286"/>
      <c r="D44" s="286"/>
      <c r="E44" s="239"/>
      <c r="F44" s="334">
        <f>IFERROR(SUM(F42:F43),0)</f>
        <v>642.5</v>
      </c>
      <c r="G44" s="240">
        <f>SUM(G42:G43)</f>
        <v>0</v>
      </c>
      <c r="H44" s="241">
        <f>IFERROR(F44-G44,0)</f>
        <v>642.5</v>
      </c>
      <c r="I44" s="242">
        <f>IFERROR(H44/$E$58,0)</f>
        <v>0.94833948339483398</v>
      </c>
      <c r="J44" s="243">
        <f>IFERROR(H44/F44,0)</f>
        <v>1</v>
      </c>
      <c r="K44" s="244">
        <f>SUM(K42:K43)</f>
        <v>642.5</v>
      </c>
      <c r="L44" s="245">
        <f>SUM(L42:L43)</f>
        <v>0</v>
      </c>
      <c r="M44" s="246">
        <f>IFERROR(K44-L44,0)</f>
        <v>642.5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00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VLOOKUP(B3,DataInfo[[jobNo]:[Other Cost]],14,0)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01"/>
      <c r="B47" s="252" t="s">
        <v>39</v>
      </c>
      <c r="C47" s="253"/>
      <c r="D47" s="253"/>
      <c r="E47" s="254" t="s">
        <v>19</v>
      </c>
      <c r="F47" s="248">
        <f>VLOOKUP(B3,DataInfo[[jobNo]:[Other Revanue]],15,0)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02" t="s">
        <v>40</v>
      </c>
      <c r="B48" s="403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50" t="s">
        <v>55</v>
      </c>
      <c r="B49" s="452" t="s">
        <v>55</v>
      </c>
      <c r="C49" s="454"/>
      <c r="D49" s="443"/>
      <c r="E49" s="443"/>
      <c r="F49" s="441">
        <f>VLOOKUP(B3,DataInfo[[jobNo]:[Tools]],12,0)</f>
        <v>0</v>
      </c>
      <c r="G49" s="443"/>
      <c r="H49" s="445"/>
      <c r="I49" s="447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51"/>
      <c r="B50" s="453"/>
      <c r="C50" s="455"/>
      <c r="D50" s="444"/>
      <c r="E50" s="444"/>
      <c r="F50" s="442"/>
      <c r="G50" s="444"/>
      <c r="H50" s="446"/>
      <c r="I50" s="448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49" t="s">
        <v>85</v>
      </c>
      <c r="B51" s="449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63" t="s">
        <v>86</v>
      </c>
      <c r="B52" s="465" t="s">
        <v>87</v>
      </c>
      <c r="C52" s="467"/>
      <c r="D52" s="458"/>
      <c r="E52" s="458"/>
      <c r="F52" s="456">
        <f>VLOOKUP(B3,DataInfo[[jobNo]:[In House Vehicles]],8,0)</f>
        <v>30</v>
      </c>
      <c r="G52" s="458"/>
      <c r="H52" s="458"/>
      <c r="I52" s="460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64"/>
      <c r="B53" s="466"/>
      <c r="C53" s="468"/>
      <c r="D53" s="459"/>
      <c r="E53" s="459"/>
      <c r="F53" s="457"/>
      <c r="G53" s="459"/>
      <c r="H53" s="459"/>
      <c r="I53" s="461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62" t="s">
        <v>88</v>
      </c>
      <c r="B54" s="462"/>
      <c r="C54" s="307"/>
      <c r="D54" s="308"/>
      <c r="E54" s="309"/>
      <c r="F54" s="326">
        <f>SUM(F52)</f>
        <v>30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76" t="s">
        <v>56</v>
      </c>
      <c r="B55" s="478" t="s">
        <v>56</v>
      </c>
      <c r="C55" s="480"/>
      <c r="D55" s="471"/>
      <c r="E55" s="471"/>
      <c r="F55" s="469">
        <f>VLOOKUP(B3,DataInfo[[jobNo]:[Consumables]],13,0)</f>
        <v>0</v>
      </c>
      <c r="G55" s="471"/>
      <c r="H55" s="471"/>
      <c r="I55" s="473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77"/>
      <c r="B56" s="479"/>
      <c r="C56" s="481"/>
      <c r="D56" s="472"/>
      <c r="E56" s="472"/>
      <c r="F56" s="470"/>
      <c r="G56" s="472"/>
      <c r="H56" s="472"/>
      <c r="I56" s="474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75" t="s">
        <v>89</v>
      </c>
      <c r="B57" s="475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677.5</v>
      </c>
      <c r="F58" s="325">
        <f>SUM(F26,F30,F36,F40,F44,F48,F51,F54,F57)</f>
        <v>62532.844999999994</v>
      </c>
      <c r="G58" s="323">
        <f>SUM(G26,G30,G36,G40,G44,G48)</f>
        <v>677.5</v>
      </c>
      <c r="H58" s="322">
        <f>IFERROR(F58-G58,0)</f>
        <v>61855.344999999994</v>
      </c>
      <c r="I58" s="321">
        <f>IFERROR(H58/$E$58,0)</f>
        <v>91.299402214022138</v>
      </c>
      <c r="J58" s="319">
        <f>IFERROR(IF(F58&lt;0.01,0,H58/F58),0)</f>
        <v>0.98916569364467588</v>
      </c>
      <c r="K58" s="318">
        <f>SUM(K26,K30,K36,K40,K44,K48)</f>
        <v>62502.844999999994</v>
      </c>
      <c r="L58" s="271">
        <f>SUM(L26,L30,L36,L40,L44,L48)</f>
        <v>677.5</v>
      </c>
      <c r="M58" s="374">
        <f>IFERROR(K58-L58,0)</f>
        <v>61825.344999999994</v>
      </c>
      <c r="N58" s="375">
        <f>IFERROR(M58/$E$3,0)</f>
        <v>0</v>
      </c>
      <c r="O58" s="376">
        <f>IFERROR(M58/K58,0)</f>
        <v>0.98916049341433976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62532.844999999994</v>
      </c>
      <c r="G60" s="279">
        <f>IF(ABS(G58-G59)&gt; 1,G58-G59,"")</f>
        <v>677.5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A32:B32"/>
    <mergeCell ref="B1:C1"/>
    <mergeCell ref="G1:H1"/>
    <mergeCell ref="B2:D2"/>
    <mergeCell ref="E2:F2"/>
    <mergeCell ref="G2:I2"/>
    <mergeCell ref="M2:O2"/>
    <mergeCell ref="A5:A25"/>
    <mergeCell ref="A26:B26"/>
    <mergeCell ref="A28:A29"/>
    <mergeCell ref="A30:B30"/>
    <mergeCell ref="K2:L2"/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</mergeCells>
  <conditionalFormatting sqref="H5:I41 M5:N41 M45:N57 H45:I48">
    <cfRule type="cellIs" dxfId="66" priority="25" operator="greaterThan">
      <formula>0.046</formula>
    </cfRule>
    <cfRule type="cellIs" dxfId="65" priority="26" operator="between">
      <formula>0</formula>
      <formula>0.045</formula>
    </cfRule>
    <cfRule type="cellIs" dxfId="64" priority="27" operator="lessThan">
      <formula>0</formula>
    </cfRule>
    <cfRule type="cellIs" dxfId="63" priority="28" operator="greaterThan">
      <formula>0.05</formula>
    </cfRule>
  </conditionalFormatting>
  <conditionalFormatting sqref="B2">
    <cfRule type="cellIs" dxfId="62" priority="24" operator="equal">
      <formula>"*"</formula>
    </cfRule>
  </conditionalFormatting>
  <conditionalFormatting sqref="F59">
    <cfRule type="expression" dxfId="61" priority="22">
      <formula>ABS($F$58-$F$59)&gt;0.01</formula>
    </cfRule>
  </conditionalFormatting>
  <conditionalFormatting sqref="G59">
    <cfRule type="expression" dxfId="60" priority="21">
      <formula>ABS($G$58-$G$59)&gt;0.01</formula>
    </cfRule>
  </conditionalFormatting>
  <conditionalFormatting sqref="H42:I42 M42:N42">
    <cfRule type="cellIs" dxfId="59" priority="12" operator="greaterThan">
      <formula>0.046</formula>
    </cfRule>
    <cfRule type="cellIs" dxfId="58" priority="13" operator="between">
      <formula>0</formula>
      <formula>0.045</formula>
    </cfRule>
    <cfRule type="cellIs" dxfId="57" priority="14" operator="lessThan">
      <formula>0</formula>
    </cfRule>
    <cfRule type="cellIs" dxfId="56" priority="15" operator="greaterThan">
      <formula>0.05</formula>
    </cfRule>
  </conditionalFormatting>
  <conditionalFormatting sqref="H43:I43 M43:N43">
    <cfRule type="cellIs" dxfId="55" priority="8" operator="greaterThan">
      <formula>0.046</formula>
    </cfRule>
    <cfRule type="cellIs" dxfId="54" priority="9" operator="between">
      <formula>0</formula>
      <formula>0.045</formula>
    </cfRule>
    <cfRule type="cellIs" dxfId="53" priority="10" operator="lessThan">
      <formula>0</formula>
    </cfRule>
    <cfRule type="cellIs" dxfId="52" priority="11" operator="greaterThan">
      <formula>0.05</formula>
    </cfRule>
  </conditionalFormatting>
  <conditionalFormatting sqref="H44:I44 M44:N44">
    <cfRule type="cellIs" dxfId="51" priority="4" operator="greaterThan">
      <formula>0.046</formula>
    </cfRule>
    <cfRule type="cellIs" dxfId="50" priority="5" operator="between">
      <formula>0</formula>
      <formula>0.045</formula>
    </cfRule>
    <cfRule type="cellIs" dxfId="49" priority="6" operator="lessThan">
      <formula>0</formula>
    </cfRule>
    <cfRule type="cellIs" dxfId="48" priority="7" operator="greaterThan">
      <formula>0.05</formula>
    </cfRule>
  </conditionalFormatting>
  <conditionalFormatting sqref="K59">
    <cfRule type="expression" dxfId="47" priority="3">
      <formula>ABS($F$58-$F$59)&gt;0.01</formula>
    </cfRule>
  </conditionalFormatting>
  <conditionalFormatting sqref="L59">
    <cfRule type="expression" dxfId="46" priority="2">
      <formula>ABS($G$58-$G$59)&gt;0.01</formula>
    </cfRule>
  </conditionalFormatting>
  <conditionalFormatting sqref="G1:H1">
    <cfRule type="expression" dxfId="45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113EE242-7309-4E82-9DBD-AC89364C60A3}">
          <x14:formula1>
            <xm:f>Data!#REF!</xm:f>
          </x14:formula1>
          <xm:sqref>C6 B7 F40 C39 E6 B3 F42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Q6"/>
  <sheetViews>
    <sheetView zoomScaleNormal="100" workbookViewId="0">
      <selection activeCell="C14" sqref="C14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73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  <c r="U1" t="s">
        <v>63</v>
      </c>
      <c r="V1" t="s">
        <v>64</v>
      </c>
      <c r="W1" t="s">
        <v>65</v>
      </c>
      <c r="X1" t="s">
        <v>66</v>
      </c>
      <c r="Y1" t="s">
        <v>67</v>
      </c>
      <c r="Z1" t="s">
        <v>68</v>
      </c>
      <c r="AA1" t="s">
        <v>69</v>
      </c>
      <c r="AB1" t="s">
        <v>22</v>
      </c>
      <c r="AC1" t="s">
        <v>23</v>
      </c>
      <c r="AD1" t="s">
        <v>70</v>
      </c>
      <c r="AE1" t="s">
        <v>71</v>
      </c>
      <c r="AF1" t="s">
        <v>72</v>
      </c>
      <c r="AG1" t="s">
        <v>74</v>
      </c>
      <c r="AH1" t="s">
        <v>75</v>
      </c>
      <c r="AI1" t="s">
        <v>76</v>
      </c>
      <c r="AJ1" t="s">
        <v>77</v>
      </c>
      <c r="AK1" t="s">
        <v>78</v>
      </c>
      <c r="AL1" t="s">
        <v>79</v>
      </c>
      <c r="AM1" t="s">
        <v>80</v>
      </c>
      <c r="AN1" t="s">
        <v>81</v>
      </c>
      <c r="AO1" t="s">
        <v>82</v>
      </c>
      <c r="AP1" t="s">
        <v>83</v>
      </c>
      <c r="AQ1" t="s">
        <v>84</v>
      </c>
    </row>
    <row r="2" spans="1:43" x14ac:dyDescent="0.25">
      <c r="A2">
        <v>56213200</v>
      </c>
      <c r="B2">
        <v>128</v>
      </c>
      <c r="C2" s="285">
        <v>0</v>
      </c>
      <c r="D2">
        <v>128</v>
      </c>
      <c r="E2" s="21">
        <v>4195.84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642.5</v>
      </c>
      <c r="C3" s="285">
        <v>35</v>
      </c>
      <c r="D3">
        <v>677.5</v>
      </c>
      <c r="E3" s="21">
        <v>29481.07</v>
      </c>
      <c r="F3">
        <v>1</v>
      </c>
      <c r="G3" s="21">
        <v>50</v>
      </c>
      <c r="H3" s="21">
        <v>30</v>
      </c>
      <c r="I3" s="21">
        <v>0</v>
      </c>
      <c r="J3" s="21">
        <v>480</v>
      </c>
      <c r="K3" s="21">
        <v>0</v>
      </c>
      <c r="L3" s="24">
        <v>0</v>
      </c>
      <c r="M3" s="21">
        <v>0</v>
      </c>
      <c r="N3" s="21">
        <v>0</v>
      </c>
      <c r="O3" s="21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1267</v>
      </c>
      <c r="C4" s="285">
        <v>578</v>
      </c>
      <c r="D4">
        <v>1845</v>
      </c>
      <c r="E4" s="21">
        <v>87115.74</v>
      </c>
      <c r="F4">
        <v>0</v>
      </c>
      <c r="G4" s="21">
        <v>91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85">
        <v>0</v>
      </c>
      <c r="D5">
        <v>0</v>
      </c>
      <c r="E5" s="21">
        <v>0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4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E9" sqref="E9"/>
    </sheetView>
  </sheetViews>
  <sheetFormatPr baseColWidth="10"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32"/>
      <c r="C1" s="432"/>
      <c r="D1" s="393">
        <v>2022</v>
      </c>
      <c r="E1" s="27" t="str">
        <f>IF(AND(A2&lt;&gt;"*",F1),"Contract Break-Down Included", "")</f>
        <v/>
      </c>
      <c r="F1" s="1"/>
      <c r="G1" s="433"/>
      <c r="H1" s="433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34" t="s">
        <v>90</v>
      </c>
      <c r="C2" s="435"/>
      <c r="D2" s="435"/>
      <c r="E2" s="436"/>
      <c r="F2" s="437"/>
      <c r="G2" s="438" t="s">
        <v>0</v>
      </c>
      <c r="H2" s="439"/>
      <c r="I2" s="440"/>
      <c r="J2" s="31" t="str">
        <f>IF(I1,"Over/Under
WIP Variance","")</f>
        <v/>
      </c>
      <c r="K2" s="428" t="s">
        <v>1</v>
      </c>
      <c r="L2" s="429"/>
      <c r="M2" s="416" t="s">
        <v>2</v>
      </c>
      <c r="N2" s="417"/>
      <c r="O2" s="418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0.728494623655914</v>
      </c>
      <c r="H3" s="37">
        <v>0</v>
      </c>
      <c r="I3" s="38">
        <f>H3-G3</f>
        <v>-0.728494623655914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19" t="s">
        <v>18</v>
      </c>
      <c r="B5" s="53" t="s">
        <v>18</v>
      </c>
      <c r="C5" s="292">
        <f>VLOOKUP(B3,DataInfo2[[jobNo]:[ST Hours]],2,0)</f>
        <v>893</v>
      </c>
      <c r="D5" s="292">
        <f>VLOOKUP(B3,DataInfo2[[jobNo]:[OT Hours]],3,0)</f>
        <v>37</v>
      </c>
      <c r="E5" s="293">
        <f>VLOOKUP(B3,DataInfo2[[jobNo]:[Total Hours]],4,0)</f>
        <v>930</v>
      </c>
      <c r="F5" s="283">
        <f>VLOOKUP(B3,DataInfo2[[jobNo]:[Labor Cost]],5,0)</f>
        <v>40186.559999999998</v>
      </c>
      <c r="G5" s="284">
        <f>VLOOKUP(B3,DataInfo[[jobNo]:[Total Hours]],4,0)</f>
        <v>677.5</v>
      </c>
      <c r="H5" s="54">
        <f>IFERROR(F5-G5,0)</f>
        <v>39509.06</v>
      </c>
      <c r="I5" s="55">
        <f>IFERROR(H5/$E$5,0)</f>
        <v>42.482860215053762</v>
      </c>
      <c r="J5" s="56"/>
      <c r="K5" s="57">
        <f>F5</f>
        <v>40186.559999999998</v>
      </c>
      <c r="L5" s="58">
        <f>G5</f>
        <v>677.5</v>
      </c>
      <c r="M5" s="59">
        <f>IFERROR(K5-L5,0)</f>
        <v>39509.06</v>
      </c>
      <c r="N5" s="60">
        <f>IFERROR(M5/$E$3,0)</f>
        <v>0</v>
      </c>
      <c r="O5" s="61"/>
      <c r="P5" s="8"/>
    </row>
    <row r="6" spans="1:18" ht="26.1" customHeight="1" x14ac:dyDescent="0.25">
      <c r="A6" s="420"/>
      <c r="B6" s="63" t="s">
        <v>58</v>
      </c>
      <c r="C6" s="394">
        <f>HLOOKUP(B6,DataInfo2[#All], MATCH(B3,DataInfo2[jobNo],0)+1,FALSE)</f>
        <v>7.65</v>
      </c>
      <c r="D6" s="394">
        <f>HLOOKUP("FICA P",DataInfo2[#All], MATCH(B3,DataInfo2[jobNo],0)+1,FALSE)</f>
        <v>7.65</v>
      </c>
      <c r="E6" s="64"/>
      <c r="F6" s="9">
        <f>(C6*$C$5)+(D6*$D$5)</f>
        <v>7114.5000000000009</v>
      </c>
      <c r="G6" s="65"/>
      <c r="H6" s="66">
        <f t="shared" ref="H6:H26" si="0">IFERROR(F6-G6,0)</f>
        <v>7114.5000000000009</v>
      </c>
      <c r="I6" s="67">
        <f t="shared" ref="I6:I25" si="1">IFERROR(H6/$E$26,0)</f>
        <v>7.6500000000000012</v>
      </c>
      <c r="J6" s="68" t="e">
        <v>#REF!</v>
      </c>
      <c r="K6" s="69">
        <f>F6</f>
        <v>7114.5000000000009</v>
      </c>
      <c r="L6" s="70">
        <f>G6</f>
        <v>0</v>
      </c>
      <c r="M6" s="71">
        <f>IFERROR(K6-L6,0)</f>
        <v>7114.5000000000009</v>
      </c>
      <c r="N6" s="72">
        <f>IFERROR(M6/$E$3,0)</f>
        <v>0</v>
      </c>
      <c r="O6" s="73"/>
      <c r="P6" s="10"/>
    </row>
    <row r="7" spans="1:18" ht="26.1" customHeight="1" x14ac:dyDescent="0.25">
      <c r="A7" s="420"/>
      <c r="B7" s="63" t="s">
        <v>59</v>
      </c>
      <c r="C7" s="394">
        <f>HLOOKUP(B7,DataInfo2[#All], MATCH(B3,DataInfo2[jobNo],0)+1,FALSE)</f>
        <v>0.6</v>
      </c>
      <c r="D7" s="394">
        <f>HLOOKUP("FUI P",DataInfo2[#All], MATCH(B3,DataInfo2[jobNo],0)+1,FALSE)</f>
        <v>0.6</v>
      </c>
      <c r="E7" s="74"/>
      <c r="F7" s="9">
        <f>(C7*$C$5)+(D7*$D$5)</f>
        <v>558</v>
      </c>
      <c r="G7" s="65"/>
      <c r="H7" s="66">
        <f>IFERROR(F7-G7,0)</f>
        <v>558</v>
      </c>
      <c r="I7" s="67">
        <f>IFERROR(H7/$E$26,0)</f>
        <v>0.6</v>
      </c>
      <c r="J7" s="75"/>
      <c r="K7" s="69">
        <f>F7</f>
        <v>558</v>
      </c>
      <c r="L7" s="70">
        <f t="shared" ref="L7:L25" si="2">G7</f>
        <v>0</v>
      </c>
      <c r="M7" s="71">
        <f>IFERROR(K7-L7,0)</f>
        <v>558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20"/>
      <c r="B8" s="63" t="s">
        <v>60</v>
      </c>
      <c r="C8" s="394">
        <f>HLOOKUP(B8,DataInfo2[#All], MATCH(B3,DataInfo2[jobNo],0)+1,FALSE)</f>
        <v>6.88</v>
      </c>
      <c r="D8" s="394">
        <f>HLOOKUP("SUI P",DataInfo2[#All], MATCH(B3,DataInfo2[jobNo],0)+1,FALSE)</f>
        <v>6.88</v>
      </c>
      <c r="E8" s="76"/>
      <c r="F8" s="9">
        <f>(C8*$C$5)+(D8*$D$5)</f>
        <v>6398.4000000000005</v>
      </c>
      <c r="G8" s="65"/>
      <c r="H8" s="66">
        <f>IFERROR(F8-G8,0)</f>
        <v>6398.4000000000005</v>
      </c>
      <c r="I8" s="67">
        <f t="shared" si="1"/>
        <v>6.8800000000000008</v>
      </c>
      <c r="J8" s="75"/>
      <c r="K8" s="69">
        <f t="shared" ref="K8:K25" si="4">F8</f>
        <v>6398.4000000000005</v>
      </c>
      <c r="L8" s="70">
        <f t="shared" si="2"/>
        <v>0</v>
      </c>
      <c r="M8" s="71">
        <f t="shared" ref="M8:M25" si="5">IFERROR(K8-L8,0)</f>
        <v>6398.4000000000005</v>
      </c>
      <c r="N8" s="72">
        <f t="shared" si="3"/>
        <v>0</v>
      </c>
      <c r="O8" s="73"/>
      <c r="P8" s="10"/>
    </row>
    <row r="9" spans="1:18" ht="30.75" customHeight="1" x14ac:dyDescent="0.25">
      <c r="A9" s="420"/>
      <c r="B9" s="77" t="s">
        <v>61</v>
      </c>
      <c r="C9" s="394">
        <f>HLOOKUP(B9,DataInfo2[#All], MATCH(B3,DataInfo2[jobNo],0)+1,FALSE)</f>
        <v>9.1</v>
      </c>
      <c r="D9" s="394">
        <f>HLOOKUP("WC P",DataInfo2[#All], MATCH(B3,DataInfo2[jobNo],0)+1,FALSE)</f>
        <v>9.1</v>
      </c>
      <c r="E9" s="76"/>
      <c r="F9" s="9">
        <f>(C9*$C$5)+(D9*$D$5)</f>
        <v>8463</v>
      </c>
      <c r="G9" s="65"/>
      <c r="H9" s="66">
        <f>IFERROR(F9-G9,0)</f>
        <v>8463</v>
      </c>
      <c r="I9" s="67">
        <f t="shared" si="1"/>
        <v>9.1</v>
      </c>
      <c r="J9" s="75"/>
      <c r="K9" s="69">
        <f t="shared" si="4"/>
        <v>8463</v>
      </c>
      <c r="L9" s="70">
        <f t="shared" si="2"/>
        <v>0</v>
      </c>
      <c r="M9" s="71">
        <f t="shared" si="5"/>
        <v>8463</v>
      </c>
      <c r="N9" s="72">
        <f t="shared" si="3"/>
        <v>0</v>
      </c>
      <c r="O9" s="73"/>
      <c r="P9" s="10"/>
    </row>
    <row r="10" spans="1:18" ht="26.1" customHeight="1" x14ac:dyDescent="0.25">
      <c r="A10" s="420"/>
      <c r="B10" s="77" t="s">
        <v>62</v>
      </c>
      <c r="C10" s="394">
        <f>HLOOKUP(B10,DataInfo2[#All], MATCH(B3,DataInfo2[jobNo],0)+1,FALSE)</f>
        <v>1.26</v>
      </c>
      <c r="D10" s="394">
        <f>HLOOKUP("Gen Liab P",DataInfo2[#All], MATCH(B3,DataInfo2[jobNo],0)+1,FALSE)</f>
        <v>1.26</v>
      </c>
      <c r="E10" s="76"/>
      <c r="F10" s="9">
        <f>(C10*$C$5)+(D10*$D$5)</f>
        <v>1171.8</v>
      </c>
      <c r="G10" s="65"/>
      <c r="H10" s="66">
        <f>IFERROR(F10-G10,0)</f>
        <v>1171.8</v>
      </c>
      <c r="I10" s="67">
        <f t="shared" si="1"/>
        <v>1.26</v>
      </c>
      <c r="J10" s="75"/>
      <c r="K10" s="69">
        <f t="shared" si="4"/>
        <v>1171.8</v>
      </c>
      <c r="L10" s="70">
        <f t="shared" si="2"/>
        <v>0</v>
      </c>
      <c r="M10" s="71">
        <f t="shared" si="5"/>
        <v>1171.8</v>
      </c>
      <c r="N10" s="72">
        <f t="shared" si="3"/>
        <v>0</v>
      </c>
      <c r="O10" s="73"/>
      <c r="P10" s="10"/>
    </row>
    <row r="11" spans="1:18" ht="26.1" customHeight="1" x14ac:dyDescent="0.25">
      <c r="A11" s="420"/>
      <c r="B11" s="63" t="s">
        <v>63</v>
      </c>
      <c r="C11" s="394">
        <f>HLOOKUP(B11,DataInfo2[#All], MATCH(B3,DataInfo2[jobNo],0)+1,FALSE)</f>
        <v>0.93</v>
      </c>
      <c r="D11" s="394">
        <f>HLOOKUP("Umbr P",DataInfo2[#All], MATCH(B3,DataInfo2[jobNo],0)+1,FALSE)</f>
        <v>0.93</v>
      </c>
      <c r="E11" s="76"/>
      <c r="F11" s="9">
        <f t="shared" ref="F11:F25" si="6">(C11*$C$5)+(D11*$D$5)</f>
        <v>864.9</v>
      </c>
      <c r="G11" s="65"/>
      <c r="H11" s="66">
        <f t="shared" si="0"/>
        <v>864.9</v>
      </c>
      <c r="I11" s="67">
        <f t="shared" si="1"/>
        <v>0.92999999999999994</v>
      </c>
      <c r="J11" s="75"/>
      <c r="K11" s="69">
        <f t="shared" si="4"/>
        <v>864.9</v>
      </c>
      <c r="L11" s="70">
        <f t="shared" si="2"/>
        <v>0</v>
      </c>
      <c r="M11" s="71">
        <f t="shared" si="5"/>
        <v>864.9</v>
      </c>
      <c r="N11" s="72">
        <f t="shared" si="3"/>
        <v>0</v>
      </c>
      <c r="O11" s="73"/>
      <c r="P11" s="10"/>
    </row>
    <row r="12" spans="1:18" ht="26.1" customHeight="1" x14ac:dyDescent="0.25">
      <c r="A12" s="420"/>
      <c r="B12" s="63" t="s">
        <v>64</v>
      </c>
      <c r="C12" s="394">
        <f>HLOOKUP(B12,DataInfo2[#All], MATCH(B3,DataInfo2[jobNo],0)+1,FALSE)</f>
        <v>0.09</v>
      </c>
      <c r="D12" s="394">
        <f>HLOOKUP("Pollution P",DataInfo2[#All], MATCH(B3,DataInfo2[jobNo],0)+1,FALSE)</f>
        <v>0.09</v>
      </c>
      <c r="E12" s="76"/>
      <c r="F12" s="9">
        <f t="shared" si="6"/>
        <v>83.699999999999989</v>
      </c>
      <c r="G12" s="65"/>
      <c r="H12" s="66">
        <f t="shared" si="0"/>
        <v>83.699999999999989</v>
      </c>
      <c r="I12" s="67">
        <f t="shared" si="1"/>
        <v>8.9999999999999983E-2</v>
      </c>
      <c r="J12" s="75"/>
      <c r="K12" s="69">
        <f t="shared" si="4"/>
        <v>83.699999999999989</v>
      </c>
      <c r="L12" s="70">
        <f t="shared" si="2"/>
        <v>0</v>
      </c>
      <c r="M12" s="71">
        <f t="shared" si="5"/>
        <v>83.699999999999989</v>
      </c>
      <c r="N12" s="72">
        <f t="shared" si="3"/>
        <v>0</v>
      </c>
      <c r="O12" s="73"/>
      <c r="P12" s="10"/>
    </row>
    <row r="13" spans="1:18" ht="26.1" customHeight="1" x14ac:dyDescent="0.25">
      <c r="A13" s="420"/>
      <c r="B13" s="63" t="s">
        <v>65</v>
      </c>
      <c r="C13" s="394">
        <f>HLOOKUP(B13,DataInfo2[#All], MATCH(B3,DataInfo2[jobNo],0)+1,FALSE)</f>
        <v>3.5</v>
      </c>
      <c r="D13" s="394">
        <f>HLOOKUP("Healt P",DataInfo2[#All], MATCH(B3,DataInfo2[jobNo],0)+1,FALSE)</f>
        <v>3.5</v>
      </c>
      <c r="E13" s="76" t="s">
        <v>19</v>
      </c>
      <c r="F13" s="9">
        <f t="shared" si="6"/>
        <v>3255</v>
      </c>
      <c r="G13" s="65"/>
      <c r="H13" s="66">
        <f t="shared" si="0"/>
        <v>3255</v>
      </c>
      <c r="I13" s="67">
        <f t="shared" si="1"/>
        <v>3.5</v>
      </c>
      <c r="J13" s="75"/>
      <c r="K13" s="69">
        <f t="shared" si="4"/>
        <v>3255</v>
      </c>
      <c r="L13" s="70">
        <f t="shared" si="2"/>
        <v>0</v>
      </c>
      <c r="M13" s="71">
        <f t="shared" si="5"/>
        <v>3255</v>
      </c>
      <c r="N13" s="72">
        <f t="shared" si="3"/>
        <v>0</v>
      </c>
      <c r="O13" s="73"/>
      <c r="P13" s="10"/>
    </row>
    <row r="14" spans="1:18" ht="26.1" customHeight="1" x14ac:dyDescent="0.25">
      <c r="A14" s="420"/>
      <c r="B14" s="63" t="s">
        <v>66</v>
      </c>
      <c r="C14" s="394">
        <f>HLOOKUP(B14,DataInfo2[#All], MATCH(B3,DataInfo2[jobNo],0)+1,FALSE)</f>
        <v>1</v>
      </c>
      <c r="D14" s="394">
        <f>HLOOKUP("Fringe P",DataInfo2[#All], MATCH(B3,DataInfo2[jobNo],0)+1,FALSE)</f>
        <v>1</v>
      </c>
      <c r="E14" s="78"/>
      <c r="F14" s="9">
        <f t="shared" si="6"/>
        <v>930</v>
      </c>
      <c r="G14" s="65"/>
      <c r="H14" s="66">
        <f t="shared" si="0"/>
        <v>930</v>
      </c>
      <c r="I14" s="67">
        <f t="shared" si="1"/>
        <v>1</v>
      </c>
      <c r="J14" s="75"/>
      <c r="K14" s="69">
        <f t="shared" si="4"/>
        <v>930</v>
      </c>
      <c r="L14" s="70">
        <f t="shared" si="2"/>
        <v>0</v>
      </c>
      <c r="M14" s="71">
        <f t="shared" si="5"/>
        <v>930</v>
      </c>
      <c r="N14" s="72">
        <f t="shared" si="3"/>
        <v>0</v>
      </c>
      <c r="O14" s="73"/>
      <c r="P14" s="10"/>
    </row>
    <row r="15" spans="1:18" ht="26.1" customHeight="1" x14ac:dyDescent="0.25">
      <c r="A15" s="420"/>
      <c r="B15" s="63" t="s">
        <v>67</v>
      </c>
      <c r="C15" s="394">
        <f>HLOOKUP(B15,DataInfo2[#All], MATCH(B3,DataInfo2[jobNo],0)+1,FALSE)</f>
        <v>0.5</v>
      </c>
      <c r="D15" s="394">
        <f>HLOOKUP("Small P",DataInfo2[#All], MATCH(B3,DataInfo2[jobNo],0)+1,FALSE)</f>
        <v>0.5</v>
      </c>
      <c r="E15" s="76"/>
      <c r="F15" s="9">
        <f t="shared" si="6"/>
        <v>465</v>
      </c>
      <c r="G15" s="65"/>
      <c r="H15" s="66">
        <f t="shared" si="0"/>
        <v>465</v>
      </c>
      <c r="I15" s="67">
        <f t="shared" si="1"/>
        <v>0.5</v>
      </c>
      <c r="J15" s="75"/>
      <c r="K15" s="69">
        <f t="shared" si="4"/>
        <v>465</v>
      </c>
      <c r="L15" s="70">
        <f t="shared" si="2"/>
        <v>0</v>
      </c>
      <c r="M15" s="71">
        <f t="shared" si="5"/>
        <v>465</v>
      </c>
      <c r="N15" s="72">
        <f t="shared" si="3"/>
        <v>0</v>
      </c>
      <c r="O15" s="73"/>
      <c r="P15" s="10"/>
    </row>
    <row r="16" spans="1:18" ht="26.1" customHeight="1" x14ac:dyDescent="0.25">
      <c r="A16" s="420"/>
      <c r="B16" s="63" t="s">
        <v>68</v>
      </c>
      <c r="C16" s="394">
        <f>HLOOKUP(B16,DataInfo2[#All], MATCH(B3,DataInfo2[jobNo],0)+1,FALSE)</f>
        <v>0.5</v>
      </c>
      <c r="D16" s="394">
        <f>HLOOKUP("PPE P",DataInfo2[#All], MATCH(B3,DataInfo2[jobNo],0)+1,FALSE)</f>
        <v>0.5</v>
      </c>
      <c r="E16" s="76" t="s">
        <v>19</v>
      </c>
      <c r="F16" s="9">
        <f t="shared" si="6"/>
        <v>465</v>
      </c>
      <c r="G16" s="65"/>
      <c r="H16" s="66">
        <f t="shared" si="0"/>
        <v>465</v>
      </c>
      <c r="I16" s="67">
        <f t="shared" si="1"/>
        <v>0.5</v>
      </c>
      <c r="J16" s="75"/>
      <c r="K16" s="69">
        <f t="shared" si="4"/>
        <v>465</v>
      </c>
      <c r="L16" s="70">
        <f t="shared" si="2"/>
        <v>0</v>
      </c>
      <c r="M16" s="71">
        <f t="shared" si="5"/>
        <v>465</v>
      </c>
      <c r="N16" s="72">
        <f t="shared" si="3"/>
        <v>0</v>
      </c>
      <c r="O16" s="73"/>
      <c r="P16" s="11"/>
    </row>
    <row r="17" spans="1:16" ht="26.1" customHeight="1" x14ac:dyDescent="0.25">
      <c r="A17" s="420"/>
      <c r="B17" s="63" t="s">
        <v>69</v>
      </c>
      <c r="C17" s="394">
        <f>HLOOKUP(B17,DataInfo2[#All], MATCH(B3,DataInfo2[jobNo],0)+1,FALSE)</f>
        <v>1</v>
      </c>
      <c r="D17" s="394">
        <f>HLOOKUP("Consumable P",DataInfo2[#All], MATCH(B3,DataInfo2[jobNo],0)+1,FALSE)</f>
        <v>1</v>
      </c>
      <c r="E17" s="76" t="s">
        <v>19</v>
      </c>
      <c r="F17" s="9">
        <f t="shared" si="6"/>
        <v>930</v>
      </c>
      <c r="G17" s="65"/>
      <c r="H17" s="66">
        <f t="shared" si="0"/>
        <v>930</v>
      </c>
      <c r="I17" s="67">
        <f t="shared" si="1"/>
        <v>1</v>
      </c>
      <c r="J17" s="75"/>
      <c r="K17" s="69">
        <f t="shared" si="4"/>
        <v>930</v>
      </c>
      <c r="L17" s="70">
        <f t="shared" si="2"/>
        <v>0</v>
      </c>
      <c r="M17" s="71">
        <f t="shared" si="5"/>
        <v>930</v>
      </c>
      <c r="N17" s="72">
        <f t="shared" si="3"/>
        <v>0</v>
      </c>
      <c r="O17" s="73"/>
      <c r="P17" s="11"/>
    </row>
    <row r="18" spans="1:16" ht="26.1" customHeight="1" x14ac:dyDescent="0.25">
      <c r="A18" s="420"/>
      <c r="B18" s="63" t="s">
        <v>22</v>
      </c>
      <c r="C18" s="394">
        <f>HLOOKUP(B18,DataInfo2[#All], MATCH(B3,DataInfo2[jobNo],0)+1,FALSE)</f>
        <v>8</v>
      </c>
      <c r="D18" s="394">
        <f>HLOOKUP("Overhead P",DataInfo2[#All], MATCH(B3,DataInfo2[jobNo],0)+1,FALSE)</f>
        <v>8</v>
      </c>
      <c r="E18" s="76" t="s">
        <v>19</v>
      </c>
      <c r="F18" s="9">
        <f t="shared" si="6"/>
        <v>7440</v>
      </c>
      <c r="G18" s="65"/>
      <c r="H18" s="66">
        <f t="shared" si="0"/>
        <v>7440</v>
      </c>
      <c r="I18" s="67">
        <f t="shared" si="1"/>
        <v>8</v>
      </c>
      <c r="J18" s="75"/>
      <c r="K18" s="69">
        <f t="shared" si="4"/>
        <v>7440</v>
      </c>
      <c r="L18" s="70">
        <f t="shared" si="2"/>
        <v>0</v>
      </c>
      <c r="M18" s="71">
        <f t="shared" si="5"/>
        <v>7440</v>
      </c>
      <c r="N18" s="72">
        <f t="shared" si="3"/>
        <v>0</v>
      </c>
      <c r="O18" s="73"/>
      <c r="P18" s="11"/>
    </row>
    <row r="19" spans="1:16" ht="26.1" customHeight="1" x14ac:dyDescent="0.25">
      <c r="A19" s="420"/>
      <c r="B19" s="63" t="s">
        <v>23</v>
      </c>
      <c r="C19" s="394">
        <f>HLOOKUP(B19,DataInfo2[#All], MATCH(B3,DataInfo2[jobNo],0)+1,FALSE)</f>
        <v>6</v>
      </c>
      <c r="D19" s="394">
        <f>HLOOKUP("Profit P",DataInfo2[#All], MATCH(B3,DataInfo2[jobNo],0)+1,FALSE)</f>
        <v>6</v>
      </c>
      <c r="E19" s="76" t="s">
        <v>19</v>
      </c>
      <c r="F19" s="9">
        <f t="shared" si="6"/>
        <v>5580</v>
      </c>
      <c r="G19" s="65"/>
      <c r="H19" s="66">
        <f t="shared" si="0"/>
        <v>5580</v>
      </c>
      <c r="I19" s="79">
        <f>IFERROR(H19/$E$26,0)</f>
        <v>6</v>
      </c>
      <c r="J19" s="75"/>
      <c r="K19" s="69">
        <f>F19</f>
        <v>5580</v>
      </c>
      <c r="L19" s="70">
        <f t="shared" si="2"/>
        <v>0</v>
      </c>
      <c r="M19" s="71">
        <f t="shared" si="5"/>
        <v>5580</v>
      </c>
      <c r="N19" s="72">
        <f t="shared" si="3"/>
        <v>0</v>
      </c>
      <c r="O19" s="73"/>
      <c r="P19" s="11"/>
    </row>
    <row r="20" spans="1:16" ht="26.1" customHeight="1" x14ac:dyDescent="0.25">
      <c r="A20" s="420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20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20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20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20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21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22" t="s">
        <v>24</v>
      </c>
      <c r="B26" s="423"/>
      <c r="C26" s="83">
        <f>SUM(PRODUCT(SUM(C6:C25),$G$3),$G$3)</f>
        <v>34.975026881720424</v>
      </c>
      <c r="D26" s="84">
        <f>SUM(PRODUCT(SUM(D6:D25),$G$3),$H$3)</f>
        <v>34.246532258064512</v>
      </c>
      <c r="E26" s="85">
        <f>SUM(E5:E25)</f>
        <v>930</v>
      </c>
      <c r="F26" s="86">
        <f>IFERROR(SUM(F5:F25),0)</f>
        <v>83905.86</v>
      </c>
      <c r="G26" s="86">
        <f>SUM(G5:G23)</f>
        <v>677.5</v>
      </c>
      <c r="H26" s="87">
        <f t="shared" si="0"/>
        <v>83228.36</v>
      </c>
      <c r="I26" s="88">
        <f>IFERROR(H26/$E$58,0)</f>
        <v>89.492860215053767</v>
      </c>
      <c r="J26" s="89">
        <f>IFERROR(H26/F26,0)</f>
        <v>0.99192547457352798</v>
      </c>
      <c r="K26" s="90">
        <f>SUM(K5:K25)</f>
        <v>83905.86</v>
      </c>
      <c r="L26" s="91">
        <f>SUM(L5:L23)</f>
        <v>677.5</v>
      </c>
      <c r="M26" s="92">
        <f>IFERROR(K26-L26,0)</f>
        <v>83228.36</v>
      </c>
      <c r="N26" s="93">
        <f>IFERROR(M26/K26,0)</f>
        <v>0.99192547457352798</v>
      </c>
      <c r="O26" s="94">
        <f>IFERROR(M26/K26,0)</f>
        <v>0.99192547457352798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24" t="s">
        <v>25</v>
      </c>
      <c r="B28" s="107" t="s">
        <v>18</v>
      </c>
      <c r="C28" s="107"/>
      <c r="D28" s="107"/>
      <c r="E28" s="108"/>
      <c r="F28" s="109">
        <f>VLOOKUP(B3,DataInfo2[[jobNo]:[Subcontract Cost]],11,0)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25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26" t="s">
        <v>26</v>
      </c>
      <c r="B30" s="427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0" t="s">
        <v>27</v>
      </c>
      <c r="B32" s="431"/>
      <c r="C32" s="291"/>
      <c r="D32" s="291"/>
      <c r="E32" s="138">
        <f>SUM(E30,E26)</f>
        <v>930</v>
      </c>
      <c r="F32" s="139">
        <f>IFERROR(SUM(F30,F26),0)</f>
        <v>83905.86</v>
      </c>
      <c r="G32" s="139">
        <f>SUM(G26,G30)</f>
        <v>677.5</v>
      </c>
      <c r="H32" s="140">
        <f>IFERROR(F32-G32,0)</f>
        <v>83228.36</v>
      </c>
      <c r="I32" s="141">
        <f>IFERROR(H32/$E$58,0)</f>
        <v>89.492860215053767</v>
      </c>
      <c r="J32" s="89">
        <f>IFERROR(H32/F32,0)</f>
        <v>0.99192547457352798</v>
      </c>
      <c r="K32" s="142">
        <f>SUM(K30,K26)</f>
        <v>83905.86</v>
      </c>
      <c r="L32" s="143">
        <f>SUM(L26,L30)</f>
        <v>677.5</v>
      </c>
      <c r="M32" s="144">
        <f>IFERROR(K32-L32,0)</f>
        <v>83228.36</v>
      </c>
      <c r="N32" s="145">
        <f>IFERROR(M32/$E$3,0)</f>
        <v>0</v>
      </c>
      <c r="O32" s="94">
        <f>IFERROR(M32/K32,0)</f>
        <v>0.99192547457352798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04" t="s">
        <v>28</v>
      </c>
      <c r="B34" s="406" t="s">
        <v>20</v>
      </c>
      <c r="C34" s="156"/>
      <c r="D34" s="156"/>
      <c r="E34" s="157" t="s">
        <v>19</v>
      </c>
      <c r="F34" s="158">
        <f>VLOOKUP(B3,DataInfo2[[jobNo]:[Material Cost]],10,0)</f>
        <v>0</v>
      </c>
      <c r="G34" s="158"/>
      <c r="H34" s="159">
        <f>IFERROR(F34-G34,0)</f>
        <v>0</v>
      </c>
      <c r="I34" s="160">
        <f>IFERROR(H34/$E$58,0)</f>
        <v>0</v>
      </c>
      <c r="J34" s="161" t="s">
        <v>19</v>
      </c>
      <c r="K34" s="162">
        <f>F34</f>
        <v>0</v>
      </c>
      <c r="L34" s="163">
        <f>G34</f>
        <v>0</v>
      </c>
      <c r="M34" s="164">
        <f>IFERROR(K34-L34,0)</f>
        <v>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05"/>
      <c r="B35" s="407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08" t="s">
        <v>29</v>
      </c>
      <c r="B36" s="409"/>
      <c r="C36" s="288"/>
      <c r="D36" s="288"/>
      <c r="E36" s="176"/>
      <c r="F36" s="177">
        <f>IFERROR(SUM(F34:F35),0)</f>
        <v>0</v>
      </c>
      <c r="G36" s="177">
        <f>SUM(G34:G35)</f>
        <v>0</v>
      </c>
      <c r="H36" s="178">
        <f>IFERROR(F36-G36,0)</f>
        <v>0</v>
      </c>
      <c r="I36" s="179">
        <f>IFERROR(H36/$E$58,0)</f>
        <v>0</v>
      </c>
      <c r="J36" s="180">
        <f>IFERROR(H36/F36,0)</f>
        <v>0</v>
      </c>
      <c r="K36" s="181">
        <f>SUM(K34:K35)</f>
        <v>0</v>
      </c>
      <c r="L36" s="182">
        <f>SUM(L34:L35)</f>
        <v>0</v>
      </c>
      <c r="M36" s="343">
        <f>IFERROR(K36-L36,0)</f>
        <v>0</v>
      </c>
      <c r="N36" s="178">
        <f>IFERROR(M36/$E$3,0)</f>
        <v>0</v>
      </c>
      <c r="O36" s="184">
        <f>IFERROR(M36/K36,0)</f>
        <v>0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10" t="s">
        <v>30</v>
      </c>
      <c r="B38" s="189" t="s">
        <v>31</v>
      </c>
      <c r="C38" s="189"/>
      <c r="D38" s="189"/>
      <c r="E38" s="190" t="s">
        <v>19</v>
      </c>
      <c r="F38" s="191">
        <f>VLOOKUP(B3,DataInfo2[[jobNo]:[Company Equipment]],9,0)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11"/>
      <c r="B39" s="198" t="s">
        <v>32</v>
      </c>
      <c r="C39" s="198"/>
      <c r="D39" s="198"/>
      <c r="E39" s="199" t="s">
        <v>19</v>
      </c>
      <c r="F39" s="200">
        <f>VLOOKUP(B3,DataInfo2[[jobNo]:[3rd Party Cost]],7,0)</f>
        <v>0</v>
      </c>
      <c r="G39" s="200"/>
      <c r="H39" s="201">
        <f>IFERROR(F39-G39,0)</f>
        <v>0</v>
      </c>
      <c r="I39" s="202">
        <f>IFERROR(H39/$E$58,0)</f>
        <v>0</v>
      </c>
      <c r="J39" s="203"/>
      <c r="K39" s="360">
        <f>F39</f>
        <v>0</v>
      </c>
      <c r="L39" s="362">
        <f>G39</f>
        <v>0</v>
      </c>
      <c r="M39" s="204">
        <f>IFERROR(K39-L39,0)</f>
        <v>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12" t="s">
        <v>33</v>
      </c>
      <c r="B40" s="413"/>
      <c r="C40" s="289"/>
      <c r="D40" s="289"/>
      <c r="E40" s="207" t="s">
        <v>19</v>
      </c>
      <c r="F40" s="208">
        <f>IFERROR(SUM(F38:F39),0)</f>
        <v>0</v>
      </c>
      <c r="G40" s="208"/>
      <c r="H40" s="209">
        <f>IFERROR(F40-G40,0)</f>
        <v>0</v>
      </c>
      <c r="I40" s="210">
        <f>IFERROR(H40/$E$58,0)</f>
        <v>0</v>
      </c>
      <c r="J40" s="211">
        <f>IFERROR(H40/F40,0)</f>
        <v>0</v>
      </c>
      <c r="K40" s="361">
        <f>SUM(K38:K39)</f>
        <v>0</v>
      </c>
      <c r="L40" s="363">
        <f>SUM(L38:L39)</f>
        <v>0</v>
      </c>
      <c r="M40" s="212">
        <f>IFERROR(K40-L40,0)</f>
        <v>0</v>
      </c>
      <c r="N40" s="209">
        <f>IFERROR(M40/$E$3,0)</f>
        <v>0</v>
      </c>
      <c r="O40" s="213">
        <f>IFERROR(M40/K40,0)</f>
        <v>0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14" t="s">
        <v>34</v>
      </c>
      <c r="B42" s="215" t="s">
        <v>35</v>
      </c>
      <c r="C42" s="216">
        <f>VLOOKUP(B3,DataInfo2[[jobNo]:[Scaffold-ADD]],6,0)</f>
        <v>1</v>
      </c>
      <c r="D42" s="216"/>
      <c r="E42" s="217" t="s">
        <v>19</v>
      </c>
      <c r="F42" s="218">
        <f>(C42*$C$5)+(D42*$D$5)</f>
        <v>893</v>
      </c>
      <c r="G42" s="218"/>
      <c r="H42" s="219">
        <f>IFERROR(F42-G42,0)</f>
        <v>893</v>
      </c>
      <c r="I42" s="220">
        <f>IFERROR(H42/$E$58,0)</f>
        <v>0.96021505376344085</v>
      </c>
      <c r="J42" s="221">
        <f>IFERROR(H42/F42,0)</f>
        <v>1</v>
      </c>
      <c r="K42" s="222">
        <f>F42</f>
        <v>893</v>
      </c>
      <c r="L42" s="223">
        <f>G42</f>
        <v>0</v>
      </c>
      <c r="M42" s="224">
        <f>IFERROR(K42-L42,0)</f>
        <v>893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15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398" t="s">
        <v>37</v>
      </c>
      <c r="B44" s="399"/>
      <c r="C44" s="286"/>
      <c r="D44" s="286"/>
      <c r="E44" s="239"/>
      <c r="F44" s="334">
        <f>IFERROR(SUM(F42:F43),0)</f>
        <v>893</v>
      </c>
      <c r="G44" s="240">
        <f>SUM(G42:G43)</f>
        <v>0</v>
      </c>
      <c r="H44" s="241">
        <f>IFERROR(F44-G44,0)</f>
        <v>893</v>
      </c>
      <c r="I44" s="242">
        <f>IFERROR(H44/$E$58,0)</f>
        <v>0.96021505376344085</v>
      </c>
      <c r="J44" s="243">
        <f>IFERROR(H44/F44,0)</f>
        <v>1</v>
      </c>
      <c r="K44" s="244">
        <f>SUM(K42:K43)</f>
        <v>893</v>
      </c>
      <c r="L44" s="245">
        <f>SUM(L42:L43)</f>
        <v>0</v>
      </c>
      <c r="M44" s="246">
        <f>IFERROR(K44-L44,0)</f>
        <v>893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00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VLOOKUP(B3,DataInfo2[[jobNo]:[Other Cost]],14,0)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01"/>
      <c r="B47" s="252" t="s">
        <v>39</v>
      </c>
      <c r="C47" s="253"/>
      <c r="D47" s="253"/>
      <c r="E47" s="254" t="s">
        <v>19</v>
      </c>
      <c r="F47" s="248">
        <f>VLOOKUP(B3,DataInfo2[[jobNo]:[Other Revanue]],15,0)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02" t="s">
        <v>40</v>
      </c>
      <c r="B48" s="403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50" t="s">
        <v>55</v>
      </c>
      <c r="B49" s="452" t="s">
        <v>55</v>
      </c>
      <c r="C49" s="454"/>
      <c r="D49" s="443"/>
      <c r="E49" s="443"/>
      <c r="F49" s="441">
        <f>VLOOKUP(B3,DataInfo2[[jobNo]:[Tools]],12,0)</f>
        <v>0</v>
      </c>
      <c r="G49" s="443"/>
      <c r="H49" s="445"/>
      <c r="I49" s="447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51"/>
      <c r="B50" s="453"/>
      <c r="C50" s="455"/>
      <c r="D50" s="444"/>
      <c r="E50" s="444"/>
      <c r="F50" s="442"/>
      <c r="G50" s="444"/>
      <c r="H50" s="446"/>
      <c r="I50" s="448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49" t="s">
        <v>85</v>
      </c>
      <c r="B51" s="449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63" t="s">
        <v>86</v>
      </c>
      <c r="B52" s="465" t="s">
        <v>87</v>
      </c>
      <c r="C52" s="467"/>
      <c r="D52" s="458"/>
      <c r="E52" s="458"/>
      <c r="F52" s="456">
        <f>VLOOKUP(B3,DataInfo2[[jobNo]:[In House Vehicles]],8,0)</f>
        <v>0</v>
      </c>
      <c r="G52" s="458"/>
      <c r="H52" s="458"/>
      <c r="I52" s="460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64"/>
      <c r="B53" s="466"/>
      <c r="C53" s="468"/>
      <c r="D53" s="459"/>
      <c r="E53" s="459"/>
      <c r="F53" s="457"/>
      <c r="G53" s="459"/>
      <c r="H53" s="459"/>
      <c r="I53" s="461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62" t="s">
        <v>88</v>
      </c>
      <c r="B54" s="462"/>
      <c r="C54" s="307"/>
      <c r="D54" s="308"/>
      <c r="E54" s="309"/>
      <c r="F54" s="326">
        <f>SUM(F52)</f>
        <v>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76" t="s">
        <v>56</v>
      </c>
      <c r="B55" s="478" t="s">
        <v>56</v>
      </c>
      <c r="C55" s="480"/>
      <c r="D55" s="471"/>
      <c r="E55" s="471"/>
      <c r="F55" s="469">
        <f>VLOOKUP(B3,DataInfo2[[jobNo]:[Consumables]],13,0)</f>
        <v>0</v>
      </c>
      <c r="G55" s="471"/>
      <c r="H55" s="471"/>
      <c r="I55" s="473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77"/>
      <c r="B56" s="479"/>
      <c r="C56" s="481"/>
      <c r="D56" s="472"/>
      <c r="E56" s="472"/>
      <c r="F56" s="470"/>
      <c r="G56" s="472"/>
      <c r="H56" s="472"/>
      <c r="I56" s="474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75" t="s">
        <v>89</v>
      </c>
      <c r="B57" s="475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930</v>
      </c>
      <c r="F58" s="325">
        <f>SUM(F26,F30,F36,F40,F44,F48,F51,F54,F57)</f>
        <v>84798.86</v>
      </c>
      <c r="G58" s="323">
        <f>SUM(G26,G30,G36,G40,G44,G48)</f>
        <v>677.5</v>
      </c>
      <c r="H58" s="322">
        <f>IFERROR(F58-G58,0)</f>
        <v>84121.36</v>
      </c>
      <c r="I58" s="321">
        <f>IFERROR(H58/$E$58,0)</f>
        <v>90.453075268817202</v>
      </c>
      <c r="J58" s="319">
        <f>IFERROR(IF(F58&lt;0.01,0,H58/F58),0)</f>
        <v>0.99201050580161099</v>
      </c>
      <c r="K58" s="318">
        <f>SUM(K26,K30,K36,K40,K44,K48)</f>
        <v>84798.86</v>
      </c>
      <c r="L58" s="271">
        <f>SUM(L26,L30,L36,L40,L44,L48)</f>
        <v>677.5</v>
      </c>
      <c r="M58" s="374">
        <f>IFERROR(K58-L58,0)</f>
        <v>84121.36</v>
      </c>
      <c r="N58" s="375">
        <f>IFERROR(M58/$E$3,0)</f>
        <v>0</v>
      </c>
      <c r="O58" s="376">
        <f>IFERROR(M58/K58,0)</f>
        <v>0.99201050580161099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84798.86</v>
      </c>
      <c r="G60" s="279">
        <f>IF(ABS(G58-G59)&gt; 1,G58-G59,"")</f>
        <v>677.5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B1:C1"/>
    <mergeCell ref="G1:H1"/>
    <mergeCell ref="B2:D2"/>
    <mergeCell ref="E2:F2"/>
    <mergeCell ref="G2:I2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51:B51"/>
    <mergeCell ref="A52:A53"/>
    <mergeCell ref="B52:B53"/>
    <mergeCell ref="C52:C53"/>
    <mergeCell ref="D52:D53"/>
    <mergeCell ref="F52:F53"/>
    <mergeCell ref="G52:G53"/>
    <mergeCell ref="H52:H53"/>
    <mergeCell ref="I52:I53"/>
    <mergeCell ref="A54:B54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33" priority="19" operator="greaterThan">
      <formula>0.046</formula>
    </cfRule>
    <cfRule type="cellIs" dxfId="32" priority="20" operator="between">
      <formula>0</formula>
      <formula>0.045</formula>
    </cfRule>
    <cfRule type="cellIs" dxfId="31" priority="21" operator="lessThan">
      <formula>0</formula>
    </cfRule>
    <cfRule type="cellIs" dxfId="30" priority="22" operator="greaterThan">
      <formula>0.05</formula>
    </cfRule>
  </conditionalFormatting>
  <conditionalFormatting sqref="B2">
    <cfRule type="cellIs" dxfId="29" priority="18" operator="equal">
      <formula>"*"</formula>
    </cfRule>
  </conditionalFormatting>
  <conditionalFormatting sqref="F59">
    <cfRule type="expression" dxfId="28" priority="17">
      <formula>ABS($F$58-$F$59)&gt;0.01</formula>
    </cfRule>
  </conditionalFormatting>
  <conditionalFormatting sqref="G59">
    <cfRule type="expression" dxfId="27" priority="16">
      <formula>ABS($G$58-$G$59)&gt;0.01</formula>
    </cfRule>
  </conditionalFormatting>
  <conditionalFormatting sqref="H42:I42 M42:N42">
    <cfRule type="cellIs" dxfId="26" priority="12" operator="greaterThan">
      <formula>0.046</formula>
    </cfRule>
    <cfRule type="cellIs" dxfId="25" priority="13" operator="between">
      <formula>0</formula>
      <formula>0.045</formula>
    </cfRule>
    <cfRule type="cellIs" dxfId="24" priority="14" operator="lessThan">
      <formula>0</formula>
    </cfRule>
    <cfRule type="cellIs" dxfId="23" priority="15" operator="greaterThan">
      <formula>0.05</formula>
    </cfRule>
  </conditionalFormatting>
  <conditionalFormatting sqref="H43:I43 M43:N43">
    <cfRule type="cellIs" dxfId="22" priority="8" operator="greaterThan">
      <formula>0.046</formula>
    </cfRule>
    <cfRule type="cellIs" dxfId="21" priority="9" operator="between">
      <formula>0</formula>
      <formula>0.045</formula>
    </cfRule>
    <cfRule type="cellIs" dxfId="20" priority="10" operator="lessThan">
      <formula>0</formula>
    </cfRule>
    <cfRule type="cellIs" dxfId="19" priority="11" operator="greaterThan">
      <formula>0.05</formula>
    </cfRule>
  </conditionalFormatting>
  <conditionalFormatting sqref="H44:I44 M44:N44">
    <cfRule type="cellIs" dxfId="18" priority="4" operator="greaterThan">
      <formula>0.046</formula>
    </cfRule>
    <cfRule type="cellIs" dxfId="17" priority="5" operator="between">
      <formula>0</formula>
      <formula>0.045</formula>
    </cfRule>
    <cfRule type="cellIs" dxfId="16" priority="6" operator="lessThan">
      <formula>0</formula>
    </cfRule>
    <cfRule type="cellIs" dxfId="15" priority="7" operator="greaterThan">
      <formula>0.05</formula>
    </cfRule>
  </conditionalFormatting>
  <conditionalFormatting sqref="K59">
    <cfRule type="expression" dxfId="14" priority="3">
      <formula>ABS($F$58-$F$59)&gt;0.01</formula>
    </cfRule>
  </conditionalFormatting>
  <conditionalFormatting sqref="L59">
    <cfRule type="expression" dxfId="13" priority="2">
      <formula>ABS($G$58-$G$59)&gt;0.01</formula>
    </cfRule>
  </conditionalFormatting>
  <conditionalFormatting sqref="G1:H1">
    <cfRule type="expression" dxfId="1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  <x14:dataValidation type="list" showInputMessage="1" showErrorMessage="1" promptTitle="JOB" xr:uid="{64C44B1F-9CBB-4975-A3A8-4582A8942A71}">
          <x14:formula1>
            <xm:f>Data!#REF!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Q6"/>
  <sheetViews>
    <sheetView topLeftCell="O1" zoomScaleNormal="100" workbookViewId="0">
      <selection activeCell="H9" sqref="H9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73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  <c r="U1" t="s">
        <v>63</v>
      </c>
      <c r="V1" t="s">
        <v>64</v>
      </c>
      <c r="W1" t="s">
        <v>65</v>
      </c>
      <c r="X1" t="s">
        <v>66</v>
      </c>
      <c r="Y1" t="s">
        <v>67</v>
      </c>
      <c r="Z1" t="s">
        <v>68</v>
      </c>
      <c r="AA1" t="s">
        <v>69</v>
      </c>
      <c r="AB1" t="s">
        <v>22</v>
      </c>
      <c r="AC1" t="s">
        <v>23</v>
      </c>
      <c r="AD1" t="s">
        <v>70</v>
      </c>
      <c r="AE1" t="s">
        <v>71</v>
      </c>
      <c r="AF1" t="s">
        <v>72</v>
      </c>
      <c r="AG1" t="s">
        <v>74</v>
      </c>
      <c r="AH1" t="s">
        <v>75</v>
      </c>
      <c r="AI1" t="s">
        <v>76</v>
      </c>
      <c r="AJ1" t="s">
        <v>77</v>
      </c>
      <c r="AK1" t="s">
        <v>78</v>
      </c>
      <c r="AL1" t="s">
        <v>79</v>
      </c>
      <c r="AM1" t="s">
        <v>80</v>
      </c>
      <c r="AN1" t="s">
        <v>81</v>
      </c>
      <c r="AO1" t="s">
        <v>82</v>
      </c>
      <c r="AP1" t="s">
        <v>83</v>
      </c>
      <c r="AQ1" t="s">
        <v>84</v>
      </c>
    </row>
    <row r="2" spans="1:43" x14ac:dyDescent="0.25">
      <c r="A2">
        <v>56213200</v>
      </c>
      <c r="B2">
        <v>144</v>
      </c>
      <c r="C2" s="285">
        <v>0</v>
      </c>
      <c r="D2">
        <v>144</v>
      </c>
      <c r="E2" s="21">
        <v>4720.32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893</v>
      </c>
      <c r="C3" s="285">
        <v>37</v>
      </c>
      <c r="D3">
        <v>930</v>
      </c>
      <c r="E3" s="21">
        <v>40186.559999999998</v>
      </c>
      <c r="F3">
        <v>1</v>
      </c>
      <c r="G3" s="21">
        <v>0</v>
      </c>
      <c r="H3" s="21">
        <v>0</v>
      </c>
      <c r="I3" s="21">
        <v>0</v>
      </c>
      <c r="J3" s="21">
        <v>0</v>
      </c>
      <c r="K3" s="21">
        <v>0</v>
      </c>
      <c r="L3" s="24">
        <v>0</v>
      </c>
      <c r="M3" s="21">
        <v>0</v>
      </c>
      <c r="N3" s="21">
        <v>0</v>
      </c>
      <c r="O3" s="21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2456.5</v>
      </c>
      <c r="C4" s="285">
        <v>1083</v>
      </c>
      <c r="D4">
        <v>3539.5</v>
      </c>
      <c r="E4" s="21">
        <v>166739.92000000001</v>
      </c>
      <c r="F4">
        <v>0</v>
      </c>
      <c r="G4" s="21">
        <v>227.5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85">
        <v>48</v>
      </c>
      <c r="D5">
        <v>48</v>
      </c>
      <c r="E5" s="21">
        <v>2100.96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4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C050-C185-494A-8A7B-F8B74CC86E5C}">
  <sheetPr codeName="Hoja3"/>
  <dimension ref="A1:G6"/>
  <sheetViews>
    <sheetView workbookViewId="0">
      <selection activeCell="D8" sqref="D8"/>
    </sheetView>
  </sheetViews>
  <sheetFormatPr baseColWidth="10" defaultRowHeight="15" x14ac:dyDescent="0.25"/>
  <cols>
    <col min="1" max="1" width="11.42578125" customWidth="1"/>
    <col min="3" max="3" width="16.42578125" customWidth="1"/>
    <col min="4" max="4" width="13.28515625" customWidth="1"/>
    <col min="5" max="5" width="11.42578125" style="397"/>
    <col min="6" max="6" width="11.42578125" style="392"/>
    <col min="7" max="7" width="19.28515625" customWidth="1"/>
  </cols>
  <sheetData>
    <row r="1" spans="1:7" x14ac:dyDescent="0.25">
      <c r="A1" t="s">
        <v>46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107</v>
      </c>
    </row>
    <row r="2" spans="1:7" x14ac:dyDescent="0.25">
      <c r="A2">
        <v>56403300</v>
      </c>
      <c r="B2" t="s">
        <v>91</v>
      </c>
      <c r="C2" t="s">
        <v>92</v>
      </c>
      <c r="D2" t="s">
        <v>92</v>
      </c>
      <c r="E2" s="397">
        <v>91</v>
      </c>
      <c r="F2" s="392" t="s">
        <v>104</v>
      </c>
      <c r="G2" t="s">
        <v>50</v>
      </c>
    </row>
    <row r="3" spans="1:7" x14ac:dyDescent="0.25">
      <c r="A3">
        <v>56403200</v>
      </c>
      <c r="B3" t="s">
        <v>93</v>
      </c>
      <c r="C3" t="s">
        <v>94</v>
      </c>
      <c r="D3" t="s">
        <v>95</v>
      </c>
      <c r="E3" s="397">
        <v>50</v>
      </c>
      <c r="F3" s="392" t="s">
        <v>105</v>
      </c>
      <c r="G3" t="s">
        <v>50</v>
      </c>
    </row>
    <row r="4" spans="1:7" x14ac:dyDescent="0.25">
      <c r="A4">
        <v>56403200</v>
      </c>
      <c r="B4" t="s">
        <v>96</v>
      </c>
      <c r="C4" t="s">
        <v>97</v>
      </c>
      <c r="D4" t="s">
        <v>95</v>
      </c>
      <c r="E4" s="397">
        <v>80</v>
      </c>
      <c r="F4" s="392" t="s">
        <v>105</v>
      </c>
      <c r="G4" t="s">
        <v>53</v>
      </c>
    </row>
    <row r="5" spans="1:7" x14ac:dyDescent="0.25">
      <c r="A5">
        <v>56403200</v>
      </c>
      <c r="B5" t="s">
        <v>98</v>
      </c>
      <c r="C5" t="s">
        <v>34</v>
      </c>
      <c r="D5" t="s">
        <v>95</v>
      </c>
      <c r="E5" s="397">
        <v>30</v>
      </c>
      <c r="F5" s="392" t="s">
        <v>106</v>
      </c>
      <c r="G5" t="s">
        <v>51</v>
      </c>
    </row>
    <row r="6" spans="1:7" x14ac:dyDescent="0.25">
      <c r="A6">
        <v>56403200</v>
      </c>
      <c r="B6" t="s">
        <v>96</v>
      </c>
      <c r="C6" t="s">
        <v>97</v>
      </c>
      <c r="D6" t="s">
        <v>95</v>
      </c>
      <c r="E6" s="397">
        <v>400</v>
      </c>
      <c r="F6" s="392" t="s">
        <v>106</v>
      </c>
      <c r="G6" t="s">
        <v>53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5248B8D0-FA77-42CF-9344-D4EF23421E43}">
          <x14:formula1>
            <xm:f>Data!#REF!</xm:f>
          </x14:formula1>
          <xm:sqref>H2</xm:sqref>
        </x14:dataValidation>
        <x14:dataValidation type="list" showInputMessage="1" showErrorMessage="1" promptTitle="JOB" xr:uid="{0BC26C10-1250-4112-B32B-FF1C24862988}">
          <x14:formula1>
            <xm:f>Data!$A$2:$A$5</xm:f>
          </x14:formula1>
          <xm:sqref>H4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MaterialUsed</vt:lpstr>
      <vt:lpstr>JCD!Área_de_impresión</vt:lpstr>
      <vt:lpstr>'JCD Y'!Área_de_impresión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2022-08-22T15:58:59Z</dcterms:modified>
</cp:coreProperties>
</file>